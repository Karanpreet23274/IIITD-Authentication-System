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naire_Raw" sheetId="1" r:id="rId1"/>
    <sheet name="Likert_Summary" sheetId="2" r:id="rId2"/>
    <sheet name="Frequencies" sheetId="3" r:id="rId3"/>
    <sheet name="Interview_Notes" sheetId="4" r:id="rId4"/>
    <sheet name="Observation" sheetId="5" r:id="rId5"/>
    <sheet name="Affinity_Themes" sheetId="6" r:id="rId6"/>
    <sheet name="Hypothesis_Verdicts" sheetId="7" r:id="rId7"/>
  </sheets>
  <definedNames>
    <definedName name="_xlnm._FilterDatabase" localSheetId="5" hidden="1">Affinity_Themes!$A$3:$I$18</definedName>
    <definedName name="_xlnm._FilterDatabase" localSheetId="6" hidden="1">Hypothesis_Verdicts!$A$2:$E$11</definedName>
    <definedName name="_xlnm._FilterDatabase" localSheetId="3" hidden="1">Interview_Notes!$A$3:$M$87</definedName>
    <definedName name="_xlnm._FilterDatabase" localSheetId="4" hidden="1">Observation!$A$3:$N$123</definedName>
    <definedName name="_xlnm._FilterDatabase" localSheetId="0" hidden="1">Questionnaire_Raw!$A$3:$AD$63</definedName>
  </definedNames>
  <calcPr calcId="124519" fullCalcOnLoad="1"/>
</workbook>
</file>

<file path=xl/sharedStrings.xml><?xml version="1.0" encoding="utf-8"?>
<sst xmlns="http://schemas.openxmlformats.org/spreadsheetml/2006/main" count="715" uniqueCount="260">
  <si>
    <t>Student questionnaire — raw responses (export from Google Forms, one row per response)</t>
  </si>
  <si>
    <t>NO DATA HAS BEEN ENTERED. Every row below is an empty template. Enter only real responses; never estimate. Participant codes (S01…, G01…, A01…) replace all names.</t>
  </si>
  <si>
    <t>Participant code</t>
  </si>
  <si>
    <t>Date</t>
  </si>
  <si>
    <t>Valid? (Y/N)</t>
  </si>
  <si>
    <t>Q1 Programme</t>
  </si>
  <si>
    <t>Q2 Hosteller/Day scholar</t>
  </si>
  <si>
    <t>Q3 Entries per weekday</t>
  </si>
  <si>
    <t>Q4 How ID carried</t>
  </si>
  <si>
    <t>Q5 How closely guard looks</t>
  </si>
  <si>
    <t>Q11a Peak wait time</t>
  </si>
  <si>
    <t>Q11b Retrieving ID inconvenient (Likert 1-5)</t>
  </si>
  <si>
    <t>Q6 Times without ID last month</t>
  </si>
  <si>
    <t>Q7 What happened without ID (multi)</t>
  </si>
  <si>
    <t>Q8 If refused, what did you do</t>
  </si>
  <si>
    <t>Q9 Ever lost ID</t>
  </si>
  <si>
    <t>Q10 Days to replacement / interim access</t>
  </si>
  <si>
    <t>Q12 Seen other's ID / fake / no check</t>
  </si>
  <si>
    <t>Q13a Current check reliable (L)</t>
  </si>
  <si>
    <t>Q13b Concerned lost card usable (L)</t>
  </si>
  <si>
    <t>Q13c Perceived security problems (multi)</t>
  </si>
  <si>
    <t>Q14a Comfortable with entry time recorded (L)</t>
  </si>
  <si>
    <t>Q14b Want to see own records (L)</t>
  </si>
  <si>
    <t>Q14c Details OK for guard to see (multi)</t>
  </si>
  <si>
    <t>Q15a Trust electronic more (L)</t>
  </si>
  <si>
    <t>Q15b Worried about other uses (L)</t>
  </si>
  <si>
    <t>Q15c What would increase trust</t>
  </si>
  <si>
    <t>Q16 Ranking: card / phone NFC / QR / visual / other (1-5 each)</t>
  </si>
  <si>
    <t>Q17 Phone type</t>
  </si>
  <si>
    <t>Q18 Accessibility needs</t>
  </si>
  <si>
    <t>Q19 Expectation if ID stops working (multi)</t>
  </si>
  <si>
    <t>Q20 Anything else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</si>
  <si>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</si>
  <si>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</si>
  <si>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</si>
  <si>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</si>
  <si>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</si>
  <si>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</si>
  <si>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</si>
  <si>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</si>
  <si>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</si>
  <si>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</si>
  <si>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</si>
  <si>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</si>
  <si>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</si>
  <si>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</si>
  <si>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</si>
  <si>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</si>
  <si>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</si>
  <si>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</si>
  <si>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</si>
  <si>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</si>
  <si>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</si>
  <si>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</si>
  <si>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</si>
  <si>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</si>
  <si>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</si>
  <si>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</si>
  <si>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</si>
  <si>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</si>
  <si>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</si>
  <si>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</si>
  <si>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</si>
  <si>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</si>
  <si>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</si>
  <si>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</si>
  <si>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</si>
  <si>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</si>
  <si>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</si>
  <si>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</si>
  <si>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</si>
  <si>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</si>
  <si>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</si>
  <si>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</si>
  <si>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</si>
  <si>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</si>
  <si>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</si>
  <si>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</si>
  <si>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</si>
  <si>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</si>
  <si>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</si>
  <si>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</si>
  <si>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</si>
  <si>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</si>
  <si>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</si>
  <si>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</si>
  <si>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</si>
  <si>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</si>
  <si>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</si>
  <si>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</si>
  <si>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</si>
  <si>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</si>
  <si>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Likert summary — formulas count raw sheet; blank until data exists</t>
  </si>
  <si>
    <t>Item</t>
  </si>
  <si>
    <t>Statement</t>
  </si>
  <si>
    <t>SD (1)</t>
  </si>
  <si>
    <t>D (2)</t>
  </si>
  <si>
    <t>N (3)</t>
  </si>
  <si>
    <t>A (4)</t>
  </si>
  <si>
    <t>SA (5)</t>
  </si>
  <si>
    <t>n</t>
  </si>
  <si>
    <t>Median</t>
  </si>
  <si>
    <t>Q11b</t>
  </si>
  <si>
    <t>Retrieving ID inconvenient (Likert 1-5)</t>
  </si>
  <si>
    <t>Q13a</t>
  </si>
  <si>
    <t>Current check reliable (L)</t>
  </si>
  <si>
    <t>Q13b</t>
  </si>
  <si>
    <t>Concerned lost card usable (L)</t>
  </si>
  <si>
    <t>Q14a</t>
  </si>
  <si>
    <t>Comfortable with entry time recorded (L)</t>
  </si>
  <si>
    <t>Q14b</t>
  </si>
  <si>
    <t>Want to see own records (L)</t>
  </si>
  <si>
    <t>Q15a</t>
  </si>
  <si>
    <t>Trust electronic more (L)</t>
  </si>
  <si>
    <t>Q15b</t>
  </si>
  <si>
    <t>Worried about other uses (L)</t>
  </si>
  <si>
    <t>Frequency distributions for categorical items — fill 'Option' column with the exact option text, counts compute</t>
  </si>
  <si>
    <t>Option (type exactly as in raw data)</t>
  </si>
  <si>
    <t>Count</t>
  </si>
  <si>
    <t>% of valid</t>
  </si>
  <si>
    <t>Interview notes and open coding — one row per question per interview</t>
  </si>
  <si>
    <t>Interview code</t>
  </si>
  <si>
    <t>Role (Guard/Admin)</t>
  </si>
  <si>
    <t>Shift</t>
  </si>
  <si>
    <t>Gate type</t>
  </si>
  <si>
    <t>Years exp.</t>
  </si>
  <si>
    <t>Audio consent</t>
  </si>
  <si>
    <t>Question #</t>
  </si>
  <si>
    <t>Note / paraphrase</t>
  </si>
  <si>
    <t>Verbatim quote (if any)</t>
  </si>
  <si>
    <t>Initial code</t>
  </si>
  <si>
    <t>Theme</t>
  </si>
  <si>
    <t>Links to requirement</t>
  </si>
  <si>
    <t>G01</t>
  </si>
  <si>
    <t>Guard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</si>
  <si>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</si>
  <si>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</si>
  <si>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</si>
  <si>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</si>
  <si>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</si>
  <si>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</si>
  <si>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</si>
  <si>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</si>
  <si>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</si>
  <si>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</si>
  <si>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</si>
  <si>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</si>
  <si>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</si>
  <si>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</si>
  <si>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G02</t>
  </si>
  <si>
    <t>G03</t>
  </si>
  <si>
    <t>G04</t>
  </si>
  <si>
    <t>G05</t>
  </si>
  <si>
    <t>G06</t>
  </si>
  <si>
    <t>Contextual inquiry timing sheet — one row per timed person (Appendix D)</t>
  </si>
  <si>
    <t>Session</t>
  </si>
  <si>
    <t>Window</t>
  </si>
  <si>
    <t>Gate</t>
  </si>
  <si>
    <t>Observer A</t>
  </si>
  <si>
    <t>Observer B</t>
  </si>
  <si>
    <t>Person #</t>
  </si>
  <si>
    <t>Code (U/Q/N/V/R)</t>
  </si>
  <si>
    <t>Seconds T1−T0</t>
  </si>
  <si>
    <t>Queue length (2-min mark)</t>
  </si>
  <si>
    <t>Exception type</t>
  </si>
  <si>
    <t>Exception duration (s)</t>
  </si>
  <si>
    <t>Outcome</t>
  </si>
  <si>
    <t>Environment / process note</t>
  </si>
  <si>
    <t>S1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</si>
  <si>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</si>
  <si>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</si>
  <si>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</si>
  <si>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</si>
  <si>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</si>
  <si>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</si>
  <si>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</si>
  <si>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</si>
  <si>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</si>
  <si>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</si>
  <si>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</si>
  <si>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</si>
  <si>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</si>
  <si>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</si>
  <si>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</si>
  <si>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</si>
  <si>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</si>
  <si>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</si>
  <si>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</si>
  <si>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</si>
  <si>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</si>
  <si>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</si>
  <si>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</si>
  <si>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</si>
  <si>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</si>
  <si>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</si>
  <si>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</si>
  <si>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</si>
  <si>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</si>
  <si>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</si>
  <si>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</si>
  <si>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</si>
  <si>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</si>
  <si>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</si>
  <si>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</si>
  <si>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</si>
  <si>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</si>
  <si>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</si>
  <si>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</si>
  <si>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</si>
  <si>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S2</t>
  </si>
  <si>
    <t>S3</t>
  </si>
  <si>
    <t>Affinity analysis output</t>
  </si>
  <si>
    <t>Theme code</t>
  </si>
  <si>
    <t>Theme (user-voice label)</t>
  </si>
  <si>
    <t>Category (pain/security/privacy/usability/accessibility/opportunity)</t>
  </si>
  <si>
    <t>Supporting codes (count)</t>
  </si>
  <si>
    <t>Sources (participant codes)</t>
  </si>
  <si>
    <t>Representative quote</t>
  </si>
  <si>
    <t>Confirms / refutes hypothesis (H1-H9)</t>
  </si>
  <si>
    <t>Links to requirement(s)</t>
  </si>
  <si>
    <t>Links to screen(s)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</si>
  <si>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</si>
  <si>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</si>
  <si>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</si>
  <si>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</si>
  <si>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</si>
  <si>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</si>
  <si>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</si>
  <si>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</si>
  <si>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</si>
  <si>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</si>
  <si>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</si>
  <si>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</si>
  <si>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</si>
  <si>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</si>
  <si>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</si>
  <si>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Hypotheses from Section 8 — update after analysis</t>
  </si>
  <si>
    <t>Hypothesis</t>
  </si>
  <si>
    <t>Verdict (CONFIRMED / REFUTED / MODIFIED / NO DATA)</t>
  </si>
  <si>
    <t>Evidence (question, session, quote codes)</t>
  </si>
  <si>
    <t>Effect on requirements</t>
  </si>
  <si>
    <t>H1</t>
  </si>
  <si>
    <t>Card retrieval delays queue</t>
  </si>
  <si>
    <t>NO DATA</t>
  </si>
  <si>
    <t>H2</t>
  </si>
  <si>
    <t>Guards do not read expiry</t>
  </si>
  <si>
    <t>H3</t>
  </si>
  <si>
    <t>Face familiarity replaces card check</t>
  </si>
  <si>
    <t>H4</t>
  </si>
  <si>
    <t>Forgotten ID common; inconsistent handling</t>
  </si>
  <si>
    <t>H5</t>
  </si>
  <si>
    <t>Lost cards not blocked; slow replacement</t>
  </si>
  <si>
    <t>H6</t>
  </si>
  <si>
    <t>Visitor register slow; leaks phone numbers</t>
  </si>
  <si>
    <t>H7</t>
  </si>
  <si>
    <t>Peak pressure → waving through</t>
  </si>
  <si>
    <t>H8</t>
  </si>
  <si>
    <t>No record for incidents</t>
  </si>
  <si>
    <t>H9</t>
  </si>
  <si>
    <t>Students uneasy about data use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</si>
</sst>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9.7109375" customWidth="1"/>
    <col min="4" max="30" width="22.7109375" customWidth="1"/>
  </cols>
  <sheetData>
    <row r="1" spans="1:30">
      <c r="A1" s="1" t="s">
        <v>0</v>
      </c>
    </row>
    <row r="2" spans="1:30" ht="4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</row>
    <row r="4" spans="1:30">
      <c r="A4" s="4" t="s">
        <v>32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 t="s">
        <v>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 t="s">
        <v>36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 t="s">
        <v>37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 t="s">
        <v>38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 t="s">
        <v>39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 t="s">
        <v>40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 t="s">
        <v>41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 t="s">
        <v>42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 t="s">
        <v>44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 t="s">
        <v>45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 t="s">
        <v>46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 t="s">
        <v>47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 t="s">
        <v>48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 t="s">
        <v>49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 t="s">
        <v>50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 t="s">
        <v>51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 t="s">
        <v>52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 t="s">
        <v>53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 t="s">
        <v>54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 t="s">
        <v>55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 t="s">
        <v>57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 t="s">
        <v>58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 t="s">
        <v>59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 t="s">
        <v>61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 t="s">
        <v>62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 t="s">
        <v>63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 t="s">
        <v>64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 t="s">
        <v>65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 t="s">
        <v>66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 t="s">
        <v>68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 t="s">
        <v>69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 t="s">
        <v>70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 t="s">
        <v>71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 t="s">
        <v>72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 t="s">
        <v>73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 t="s">
        <v>74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 t="s">
        <v>75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 t="s">
        <v>76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 t="s">
        <v>77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 t="s">
        <v>78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 t="s">
        <v>79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 t="s">
        <v>80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 t="s">
        <v>81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 t="s">
        <v>82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 t="s">
        <v>83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 t="s">
        <v>84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 t="s">
        <v>85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 t="s">
        <v>86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 t="s">
        <v>87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 t="s">
        <v>88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 t="s">
        <v>89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 t="s">
        <v>90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 t="s">
        <v>91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</sheetData>
  <autoFilter ref="A3:AD63"/>
  <mergeCells count="1">
    <mergeCell ref="A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8.7109375" customWidth="1"/>
    <col min="2" max="2" width="48.7109375" customWidth="1"/>
    <col min="3" max="9" width="9.7109375" customWidth="1"/>
  </cols>
  <sheetData>
    <row r="1" spans="1:9">
      <c r="A1" s="1" t="s">
        <v>92</v>
      </c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3" t="s">
        <v>100</v>
      </c>
      <c r="I4" s="3" t="s">
        <v>101</v>
      </c>
    </row>
    <row r="5" spans="1:9">
      <c r="A5" s="4" t="s">
        <v>102</v>
      </c>
      <c r="B5" s="4" t="s">
        <v>103</v>
      </c>
      <c r="C5" s="4">
        <f>COUNTIF(Questionnaire_Raw!$J$3:$J$62,1)</f>
        <v>0</v>
      </c>
      <c r="D5" s="4">
        <f>COUNTIF(Questionnaire_Raw!$J$3:$J$62,2)</f>
        <v>0</v>
      </c>
      <c r="E5" s="4">
        <f>COUNTIF(Questionnaire_Raw!$J$3:$J$62,3)</f>
        <v>0</v>
      </c>
      <c r="F5" s="4">
        <f>COUNTIF(Questionnaire_Raw!$J$3:$J$62,4)</f>
        <v>0</v>
      </c>
      <c r="G5" s="4">
        <f>COUNTIF(Questionnaire_Raw!$J$3:$J$62,5)</f>
        <v>0</v>
      </c>
      <c r="H5" s="4">
        <f>COUNT(Questionnaire_Raw!$J$3:$J$62)</f>
        <v>0</v>
      </c>
      <c r="I5" s="4">
        <f>IF(COUNT(Questionnaire_Raw!$J$3:$J$62)=0,"",MEDIAN(Questionnaire_Raw!$J$3:$J$62))</f>
        <v>0</v>
      </c>
    </row>
    <row r="6" spans="1:9">
      <c r="A6" s="4" t="s">
        <v>104</v>
      </c>
      <c r="B6" s="4" t="s">
        <v>105</v>
      </c>
      <c r="C6" s="4">
        <f>COUNTIF(Questionnaire_Raw!$Q$3:$Q$62,1)</f>
        <v>0</v>
      </c>
      <c r="D6" s="4">
        <f>COUNTIF(Questionnaire_Raw!$Q$3:$Q$62,2)</f>
        <v>0</v>
      </c>
      <c r="E6" s="4">
        <f>COUNTIF(Questionnaire_Raw!$Q$3:$Q$62,3)</f>
        <v>0</v>
      </c>
      <c r="F6" s="4">
        <f>COUNTIF(Questionnaire_Raw!$Q$3:$Q$62,4)</f>
        <v>0</v>
      </c>
      <c r="G6" s="4">
        <f>COUNTIF(Questionnaire_Raw!$Q$3:$Q$62,5)</f>
        <v>0</v>
      </c>
      <c r="H6" s="4">
        <f>COUNT(Questionnaire_Raw!$Q$3:$Q$62)</f>
        <v>0</v>
      </c>
      <c r="I6" s="4">
        <f>IF(COUNT(Questionnaire_Raw!$Q$3:$Q$62)=0,"",MEDIAN(Questionnaire_Raw!$Q$3:$Q$62))</f>
        <v>0</v>
      </c>
    </row>
    <row r="7" spans="1:9">
      <c r="A7" s="4" t="s">
        <v>106</v>
      </c>
      <c r="B7" s="4" t="s">
        <v>107</v>
      </c>
      <c r="C7" s="4">
        <f>COUNTIF(Questionnaire_Raw!$R$3:$R$62,1)</f>
        <v>0</v>
      </c>
      <c r="D7" s="4">
        <f>COUNTIF(Questionnaire_Raw!$R$3:$R$62,2)</f>
        <v>0</v>
      </c>
      <c r="E7" s="4">
        <f>COUNTIF(Questionnaire_Raw!$R$3:$R$62,3)</f>
        <v>0</v>
      </c>
      <c r="F7" s="4">
        <f>COUNTIF(Questionnaire_Raw!$R$3:$R$62,4)</f>
        <v>0</v>
      </c>
      <c r="G7" s="4">
        <f>COUNTIF(Questionnaire_Raw!$R$3:$R$62,5)</f>
        <v>0</v>
      </c>
      <c r="H7" s="4">
        <f>COUNT(Questionnaire_Raw!$R$3:$R$62)</f>
        <v>0</v>
      </c>
      <c r="I7" s="4">
        <f>IF(COUNT(Questionnaire_Raw!$R$3:$R$62)=0,"",MEDIAN(Questionnaire_Raw!$R$3:$R$62))</f>
        <v>0</v>
      </c>
    </row>
    <row r="8" spans="1:9">
      <c r="A8" s="4" t="s">
        <v>108</v>
      </c>
      <c r="B8" s="4" t="s">
        <v>109</v>
      </c>
      <c r="C8" s="4">
        <f>COUNTIF(Questionnaire_Raw!$T$3:$T$62,1)</f>
        <v>0</v>
      </c>
      <c r="D8" s="4">
        <f>COUNTIF(Questionnaire_Raw!$T$3:$T$62,2)</f>
        <v>0</v>
      </c>
      <c r="E8" s="4">
        <f>COUNTIF(Questionnaire_Raw!$T$3:$T$62,3)</f>
        <v>0</v>
      </c>
      <c r="F8" s="4">
        <f>COUNTIF(Questionnaire_Raw!$T$3:$T$62,4)</f>
        <v>0</v>
      </c>
      <c r="G8" s="4">
        <f>COUNTIF(Questionnaire_Raw!$T$3:$T$62,5)</f>
        <v>0</v>
      </c>
      <c r="H8" s="4">
        <f>COUNT(Questionnaire_Raw!$T$3:$T$62)</f>
        <v>0</v>
      </c>
      <c r="I8" s="4">
        <f>IF(COUNT(Questionnaire_Raw!$T$3:$T$62)=0,"",MEDIAN(Questionnaire_Raw!$T$3:$T$62))</f>
        <v>0</v>
      </c>
    </row>
    <row r="9" spans="1:9">
      <c r="A9" s="4" t="s">
        <v>110</v>
      </c>
      <c r="B9" s="4" t="s">
        <v>111</v>
      </c>
      <c r="C9" s="4">
        <f>COUNTIF(Questionnaire_Raw!$U$3:$U$62,1)</f>
        <v>0</v>
      </c>
      <c r="D9" s="4">
        <f>COUNTIF(Questionnaire_Raw!$U$3:$U$62,2)</f>
        <v>0</v>
      </c>
      <c r="E9" s="4">
        <f>COUNTIF(Questionnaire_Raw!$U$3:$U$62,3)</f>
        <v>0</v>
      </c>
      <c r="F9" s="4">
        <f>COUNTIF(Questionnaire_Raw!$U$3:$U$62,4)</f>
        <v>0</v>
      </c>
      <c r="G9" s="4">
        <f>COUNTIF(Questionnaire_Raw!$U$3:$U$62,5)</f>
        <v>0</v>
      </c>
      <c r="H9" s="4">
        <f>COUNT(Questionnaire_Raw!$U$3:$U$62)</f>
        <v>0</v>
      </c>
      <c r="I9" s="4">
        <f>IF(COUNT(Questionnaire_Raw!$U$3:$U$62)=0,"",MEDIAN(Questionnaire_Raw!$U$3:$U$62))</f>
        <v>0</v>
      </c>
    </row>
    <row r="10" spans="1:9">
      <c r="A10" s="4" t="s">
        <v>112</v>
      </c>
      <c r="B10" s="4" t="s">
        <v>113</v>
      </c>
      <c r="C10" s="4">
        <f>COUNTIF(Questionnaire_Raw!$W$3:$W$62,1)</f>
        <v>0</v>
      </c>
      <c r="D10" s="4">
        <f>COUNTIF(Questionnaire_Raw!$W$3:$W$62,2)</f>
        <v>0</v>
      </c>
      <c r="E10" s="4">
        <f>COUNTIF(Questionnaire_Raw!$W$3:$W$62,3)</f>
        <v>0</v>
      </c>
      <c r="F10" s="4">
        <f>COUNTIF(Questionnaire_Raw!$W$3:$W$62,4)</f>
        <v>0</v>
      </c>
      <c r="G10" s="4">
        <f>COUNTIF(Questionnaire_Raw!$W$3:$W$62,5)</f>
        <v>0</v>
      </c>
      <c r="H10" s="4">
        <f>COUNT(Questionnaire_Raw!$W$3:$W$62)</f>
        <v>0</v>
      </c>
      <c r="I10" s="4">
        <f>IF(COUNT(Questionnaire_Raw!$W$3:$W$62)=0,"",MEDIAN(Questionnaire_Raw!$W$3:$W$62))</f>
        <v>0</v>
      </c>
    </row>
    <row r="11" spans="1:9">
      <c r="A11" s="4" t="s">
        <v>114</v>
      </c>
      <c r="B11" s="4" t="s">
        <v>115</v>
      </c>
      <c r="C11" s="4">
        <f>COUNTIF(Questionnaire_Raw!$X$3:$X$62,1)</f>
        <v>0</v>
      </c>
      <c r="D11" s="4">
        <f>COUNTIF(Questionnaire_Raw!$X$3:$X$62,2)</f>
        <v>0</v>
      </c>
      <c r="E11" s="4">
        <f>COUNTIF(Questionnaire_Raw!$X$3:$X$62,3)</f>
        <v>0</v>
      </c>
      <c r="F11" s="4">
        <f>COUNTIF(Questionnaire_Raw!$X$3:$X$62,4)</f>
        <v>0</v>
      </c>
      <c r="G11" s="4">
        <f>COUNTIF(Questionnaire_Raw!$X$3:$X$62,5)</f>
        <v>0</v>
      </c>
      <c r="H11" s="4">
        <f>COUNT(Questionnaire_Raw!$X$3:$X$62)</f>
        <v>0</v>
      </c>
      <c r="I11" s="4">
        <f>IF(COUNT(Questionnaire_Raw!$X$3:$X$62)=0,"",MEDIAN(Questionnaire_Raw!$X$3:$X$62))</f>
        <v>0</v>
      </c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cols>
    <col min="1" max="1" width="36.7109375" customWidth="1"/>
    <col min="2" max="2" width="44.7109375" customWidth="1"/>
    <col min="3" max="4" width="12.7109375" customWidth="1"/>
  </cols>
  <sheetData>
    <row r="1" spans="1:5">
      <c r="A1" s="1" t="s">
        <v>116</v>
      </c>
    </row>
    <row r="2" spans="1:5">
      <c r="A2" s="2" t="s">
        <v>1</v>
      </c>
      <c r="B2" s="2"/>
      <c r="C2" s="2"/>
      <c r="D2" s="2"/>
      <c r="E2" s="2"/>
    </row>
    <row r="4" spans="1:5">
      <c r="A4" s="3" t="s">
        <v>93</v>
      </c>
      <c r="B4" s="3" t="s">
        <v>117</v>
      </c>
      <c r="C4" s="3" t="s">
        <v>118</v>
      </c>
      <c r="D4" s="3" t="s">
        <v>119</v>
      </c>
      <c r="E4" s="3"/>
    </row>
    <row r="5" spans="1:5">
      <c r="A5" s="4" t="s">
        <v>5</v>
      </c>
      <c r="B5" s="5"/>
      <c r="C5" s="4">
        <f>IF(B5="","",COUNTIF(Questionnaire_Raw!$D$3:$D$62,B5))</f>
        <v>0</v>
      </c>
      <c r="D5" s="4">
        <f>IF(OR(B5="",COUNTA(Questionnaire_Raw!$D$3:$D$62)=0),"",C5/COUNTA(Questionnaire_Raw!$D$3:$D$62))</f>
        <v>0</v>
      </c>
    </row>
    <row r="6" spans="1:5">
      <c r="A6" s="4"/>
      <c r="B6" s="5"/>
      <c r="C6" s="4">
        <f>IF(B6="","",COUNTIF(Questionnaire_Raw!$D$3:$D$62,B6))</f>
        <v>0</v>
      </c>
      <c r="D6" s="4">
        <f>IF(OR(B6="",COUNTA(Questionnaire_Raw!$D$3:$D$62)=0),"",C6/COUNTA(Questionnaire_Raw!$D$3:$D$62))</f>
        <v>0</v>
      </c>
    </row>
    <row r="7" spans="1:5">
      <c r="A7" s="4"/>
      <c r="B7" s="5"/>
      <c r="C7" s="4">
        <f>IF(B7="","",COUNTIF(Questionnaire_Raw!$D$3:$D$62,B7))</f>
        <v>0</v>
      </c>
      <c r="D7" s="4">
        <f>IF(OR(B7="",COUNTA(Questionnaire_Raw!$D$3:$D$62)=0),"",C7/COUNTA(Questionnaire_Raw!$D$3:$D$62))</f>
        <v>0</v>
      </c>
    </row>
    <row r="8" spans="1:5">
      <c r="A8" s="4"/>
      <c r="B8" s="5"/>
      <c r="C8" s="4">
        <f>IF(B8="","",COUNTIF(Questionnaire_Raw!$D$3:$D$62,B8))</f>
        <v>0</v>
      </c>
      <c r="D8" s="4">
        <f>IF(OR(B8="",COUNTA(Questionnaire_Raw!$D$3:$D$62)=0),"",C8/COUNTA(Questionnaire_Raw!$D$3:$D$62))</f>
        <v>0</v>
      </c>
    </row>
    <row r="9" spans="1:5">
      <c r="A9" s="4"/>
      <c r="B9" s="5"/>
      <c r="C9" s="4">
        <f>IF(B9="","",COUNTIF(Questionnaire_Raw!$D$3:$D$62,B9))</f>
        <v>0</v>
      </c>
      <c r="D9" s="4">
        <f>IF(OR(B9="",COUNTA(Questionnaire_Raw!$D$3:$D$62)=0),"",C9/COUNTA(Questionnaire_Raw!$D$3:$D$62))</f>
        <v>0</v>
      </c>
    </row>
    <row r="10" spans="1:5">
      <c r="A10" s="4" t="s">
        <v>6</v>
      </c>
      <c r="B10" s="5"/>
      <c r="C10" s="4">
        <f>IF(B10="","",COUNTIF(Questionnaire_Raw!$E$3:$E$62,B10))</f>
        <v>0</v>
      </c>
      <c r="D10" s="4">
        <f>IF(OR(B10="",COUNTA(Questionnaire_Raw!$E$3:$E$62)=0),"",C10/COUNTA(Questionnaire_Raw!$E$3:$E$62))</f>
        <v>0</v>
      </c>
    </row>
    <row r="11" spans="1:5">
      <c r="A11" s="4"/>
      <c r="B11" s="5"/>
      <c r="C11" s="4">
        <f>IF(B11="","",COUNTIF(Questionnaire_Raw!$E$3:$E$62,B11))</f>
        <v>0</v>
      </c>
      <c r="D11" s="4">
        <f>IF(OR(B11="",COUNTA(Questionnaire_Raw!$E$3:$E$62)=0),"",C11/COUNTA(Questionnaire_Raw!$E$3:$E$62))</f>
        <v>0</v>
      </c>
    </row>
    <row r="12" spans="1:5">
      <c r="A12" s="4"/>
      <c r="B12" s="5"/>
      <c r="C12" s="4">
        <f>IF(B12="","",COUNTIF(Questionnaire_Raw!$E$3:$E$62,B12))</f>
        <v>0</v>
      </c>
      <c r="D12" s="4">
        <f>IF(OR(B12="",COUNTA(Questionnaire_Raw!$E$3:$E$62)=0),"",C12/COUNTA(Questionnaire_Raw!$E$3:$E$62))</f>
        <v>0</v>
      </c>
    </row>
    <row r="13" spans="1:5">
      <c r="A13" s="4"/>
      <c r="B13" s="5"/>
      <c r="C13" s="4">
        <f>IF(B13="","",COUNTIF(Questionnaire_Raw!$E$3:$E$62,B13))</f>
        <v>0</v>
      </c>
      <c r="D13" s="4">
        <f>IF(OR(B13="",COUNTA(Questionnaire_Raw!$E$3:$E$62)=0),"",C13/COUNTA(Questionnaire_Raw!$E$3:$E$62))</f>
        <v>0</v>
      </c>
    </row>
    <row r="14" spans="1:5">
      <c r="A14" s="4"/>
      <c r="B14" s="5"/>
      <c r="C14" s="4">
        <f>IF(B14="","",COUNTIF(Questionnaire_Raw!$E$3:$E$62,B14))</f>
        <v>0</v>
      </c>
      <c r="D14" s="4">
        <f>IF(OR(B14="",COUNTA(Questionnaire_Raw!$E$3:$E$62)=0),"",C14/COUNTA(Questionnaire_Raw!$E$3:$E$62))</f>
        <v>0</v>
      </c>
    </row>
    <row r="15" spans="1:5">
      <c r="A15" s="4" t="s">
        <v>7</v>
      </c>
      <c r="B15" s="5"/>
      <c r="C15" s="4">
        <f>IF(B15="","",COUNTIF(Questionnaire_Raw!$F$3:$F$62,B15))</f>
        <v>0</v>
      </c>
      <c r="D15" s="4">
        <f>IF(OR(B15="",COUNTA(Questionnaire_Raw!$F$3:$F$62)=0),"",C15/COUNTA(Questionnaire_Raw!$F$3:$F$62))</f>
        <v>0</v>
      </c>
    </row>
    <row r="16" spans="1:5">
      <c r="A16" s="4"/>
      <c r="B16" s="5"/>
      <c r="C16" s="4">
        <f>IF(B16="","",COUNTIF(Questionnaire_Raw!$F$3:$F$62,B16))</f>
        <v>0</v>
      </c>
      <c r="D16" s="4">
        <f>IF(OR(B16="",COUNTA(Questionnaire_Raw!$F$3:$F$62)=0),"",C16/COUNTA(Questionnaire_Raw!$F$3:$F$62))</f>
        <v>0</v>
      </c>
    </row>
    <row r="17" spans="1:4">
      <c r="A17" s="4"/>
      <c r="B17" s="5"/>
      <c r="C17" s="4">
        <f>IF(B17="","",COUNTIF(Questionnaire_Raw!$F$3:$F$62,B17))</f>
        <v>0</v>
      </c>
      <c r="D17" s="4">
        <f>IF(OR(B17="",COUNTA(Questionnaire_Raw!$F$3:$F$62)=0),"",C17/COUNTA(Questionnaire_Raw!$F$3:$F$62))</f>
        <v>0</v>
      </c>
    </row>
    <row r="18" spans="1:4">
      <c r="A18" s="4"/>
      <c r="B18" s="5"/>
      <c r="C18" s="4">
        <f>IF(B18="","",COUNTIF(Questionnaire_Raw!$F$3:$F$62,B18))</f>
        <v>0</v>
      </c>
      <c r="D18" s="4">
        <f>IF(OR(B18="",COUNTA(Questionnaire_Raw!$F$3:$F$62)=0),"",C18/COUNTA(Questionnaire_Raw!$F$3:$F$62))</f>
        <v>0</v>
      </c>
    </row>
    <row r="19" spans="1:4">
      <c r="A19" s="4"/>
      <c r="B19" s="5"/>
      <c r="C19" s="4">
        <f>IF(B19="","",COUNTIF(Questionnaire_Raw!$F$3:$F$62,B19))</f>
        <v>0</v>
      </c>
      <c r="D19" s="4">
        <f>IF(OR(B19="",COUNTA(Questionnaire_Raw!$F$3:$F$62)=0),"",C19/COUNTA(Questionnaire_Raw!$F$3:$F$62))</f>
        <v>0</v>
      </c>
    </row>
    <row r="20" spans="1:4">
      <c r="A20" s="4" t="s">
        <v>8</v>
      </c>
      <c r="B20" s="5"/>
      <c r="C20" s="4">
        <f>IF(B20="","",COUNTIF(Questionnaire_Raw!$G$3:$G$62,B20))</f>
        <v>0</v>
      </c>
      <c r="D20" s="4">
        <f>IF(OR(B20="",COUNTA(Questionnaire_Raw!$G$3:$G$62)=0),"",C20/COUNTA(Questionnaire_Raw!$G$3:$G$62))</f>
        <v>0</v>
      </c>
    </row>
    <row r="21" spans="1:4">
      <c r="A21" s="4"/>
      <c r="B21" s="5"/>
      <c r="C21" s="4">
        <f>IF(B21="","",COUNTIF(Questionnaire_Raw!$G$3:$G$62,B21))</f>
        <v>0</v>
      </c>
      <c r="D21" s="4">
        <f>IF(OR(B21="",COUNTA(Questionnaire_Raw!$G$3:$G$62)=0),"",C21/COUNTA(Questionnaire_Raw!$G$3:$G$62))</f>
        <v>0</v>
      </c>
    </row>
    <row r="22" spans="1:4">
      <c r="A22" s="4"/>
      <c r="B22" s="5"/>
      <c r="C22" s="4">
        <f>IF(B22="","",COUNTIF(Questionnaire_Raw!$G$3:$G$62,B22))</f>
        <v>0</v>
      </c>
      <c r="D22" s="4">
        <f>IF(OR(B22="",COUNTA(Questionnaire_Raw!$G$3:$G$62)=0),"",C22/COUNTA(Questionnaire_Raw!$G$3:$G$62))</f>
        <v>0</v>
      </c>
    </row>
    <row r="23" spans="1:4">
      <c r="A23" s="4"/>
      <c r="B23" s="5"/>
      <c r="C23" s="4">
        <f>IF(B23="","",COUNTIF(Questionnaire_Raw!$G$3:$G$62,B23))</f>
        <v>0</v>
      </c>
      <c r="D23" s="4">
        <f>IF(OR(B23="",COUNTA(Questionnaire_Raw!$G$3:$G$62)=0),"",C23/COUNTA(Questionnaire_Raw!$G$3:$G$62))</f>
        <v>0</v>
      </c>
    </row>
    <row r="24" spans="1:4">
      <c r="A24" s="4"/>
      <c r="B24" s="5"/>
      <c r="C24" s="4">
        <f>IF(B24="","",COUNTIF(Questionnaire_Raw!$G$3:$G$62,B24))</f>
        <v>0</v>
      </c>
      <c r="D24" s="4">
        <f>IF(OR(B24="",COUNTA(Questionnaire_Raw!$G$3:$G$62)=0),"",C24/COUNTA(Questionnaire_Raw!$G$3:$G$62))</f>
        <v>0</v>
      </c>
    </row>
    <row r="25" spans="1:4">
      <c r="A25" s="4" t="s">
        <v>9</v>
      </c>
      <c r="B25" s="5"/>
      <c r="C25" s="4">
        <f>IF(B25="","",COUNTIF(Questionnaire_Raw!$H$3:$H$62,B25))</f>
        <v>0</v>
      </c>
      <c r="D25" s="4">
        <f>IF(OR(B25="",COUNTA(Questionnaire_Raw!$H$3:$H$62)=0),"",C25/COUNTA(Questionnaire_Raw!$H$3:$H$62))</f>
        <v>0</v>
      </c>
    </row>
    <row r="26" spans="1:4">
      <c r="A26" s="4"/>
      <c r="B26" s="5"/>
      <c r="C26" s="4">
        <f>IF(B26="","",COUNTIF(Questionnaire_Raw!$H$3:$H$62,B26))</f>
        <v>0</v>
      </c>
      <c r="D26" s="4">
        <f>IF(OR(B26="",COUNTA(Questionnaire_Raw!$H$3:$H$62)=0),"",C26/COUNTA(Questionnaire_Raw!$H$3:$H$62))</f>
        <v>0</v>
      </c>
    </row>
    <row r="27" spans="1:4">
      <c r="A27" s="4"/>
      <c r="B27" s="5"/>
      <c r="C27" s="4">
        <f>IF(B27="","",COUNTIF(Questionnaire_Raw!$H$3:$H$62,B27))</f>
        <v>0</v>
      </c>
      <c r="D27" s="4">
        <f>IF(OR(B27="",COUNTA(Questionnaire_Raw!$H$3:$H$62)=0),"",C27/COUNTA(Questionnaire_Raw!$H$3:$H$62))</f>
        <v>0</v>
      </c>
    </row>
    <row r="28" spans="1:4">
      <c r="A28" s="4"/>
      <c r="B28" s="5"/>
      <c r="C28" s="4">
        <f>IF(B28="","",COUNTIF(Questionnaire_Raw!$H$3:$H$62,B28))</f>
        <v>0</v>
      </c>
      <c r="D28" s="4">
        <f>IF(OR(B28="",COUNTA(Questionnaire_Raw!$H$3:$H$62)=0),"",C28/COUNTA(Questionnaire_Raw!$H$3:$H$62))</f>
        <v>0</v>
      </c>
    </row>
    <row r="29" spans="1:4">
      <c r="A29" s="4"/>
      <c r="B29" s="5"/>
      <c r="C29" s="4">
        <f>IF(B29="","",COUNTIF(Questionnaire_Raw!$H$3:$H$62,B29))</f>
        <v>0</v>
      </c>
      <c r="D29" s="4">
        <f>IF(OR(B29="",COUNTA(Questionnaire_Raw!$H$3:$H$62)=0),"",C29/COUNTA(Questionnaire_Raw!$H$3:$H$62))</f>
        <v>0</v>
      </c>
    </row>
    <row r="30" spans="1:4">
      <c r="A30" s="4" t="s">
        <v>10</v>
      </c>
      <c r="B30" s="5"/>
      <c r="C30" s="4">
        <f>IF(B30="","",COUNTIF(Questionnaire_Raw!$I$3:$I$62,B30))</f>
        <v>0</v>
      </c>
      <c r="D30" s="4">
        <f>IF(OR(B30="",COUNTA(Questionnaire_Raw!$I$3:$I$62)=0),"",C30/COUNTA(Questionnaire_Raw!$I$3:$I$62))</f>
        <v>0</v>
      </c>
    </row>
    <row r="31" spans="1:4">
      <c r="A31" s="4"/>
      <c r="B31" s="5"/>
      <c r="C31" s="4">
        <f>IF(B31="","",COUNTIF(Questionnaire_Raw!$I$3:$I$62,B31))</f>
        <v>0</v>
      </c>
      <c r="D31" s="4">
        <f>IF(OR(B31="",COUNTA(Questionnaire_Raw!$I$3:$I$62)=0),"",C31/COUNTA(Questionnaire_Raw!$I$3:$I$62))</f>
        <v>0</v>
      </c>
    </row>
    <row r="32" spans="1:4">
      <c r="A32" s="4"/>
      <c r="B32" s="5"/>
      <c r="C32" s="4">
        <f>IF(B32="","",COUNTIF(Questionnaire_Raw!$I$3:$I$62,B32))</f>
        <v>0</v>
      </c>
      <c r="D32" s="4">
        <f>IF(OR(B32="",COUNTA(Questionnaire_Raw!$I$3:$I$62)=0),"",C32/COUNTA(Questionnaire_Raw!$I$3:$I$62))</f>
        <v>0</v>
      </c>
    </row>
    <row r="33" spans="1:4">
      <c r="A33" s="4"/>
      <c r="B33" s="5"/>
      <c r="C33" s="4">
        <f>IF(B33="","",COUNTIF(Questionnaire_Raw!$I$3:$I$62,B33))</f>
        <v>0</v>
      </c>
      <c r="D33" s="4">
        <f>IF(OR(B33="",COUNTA(Questionnaire_Raw!$I$3:$I$62)=0),"",C33/COUNTA(Questionnaire_Raw!$I$3:$I$62))</f>
        <v>0</v>
      </c>
    </row>
    <row r="34" spans="1:4">
      <c r="A34" s="4"/>
      <c r="B34" s="5"/>
      <c r="C34" s="4">
        <f>IF(B34="","",COUNTIF(Questionnaire_Raw!$I$3:$I$62,B34))</f>
        <v>0</v>
      </c>
      <c r="D34" s="4">
        <f>IF(OR(B34="",COUNTA(Questionnaire_Raw!$I$3:$I$62)=0),"",C34/COUNTA(Questionnaire_Raw!$I$3:$I$62))</f>
        <v>0</v>
      </c>
    </row>
    <row r="35" spans="1:4">
      <c r="A35" s="4" t="s">
        <v>12</v>
      </c>
      <c r="B35" s="5"/>
      <c r="C35" s="4">
        <f>IF(B35="","",COUNTIF(Questionnaire_Raw!$K$3:$K$62,B35))</f>
        <v>0</v>
      </c>
      <c r="D35" s="4">
        <f>IF(OR(B35="",COUNTA(Questionnaire_Raw!$K$3:$K$62)=0),"",C35/COUNTA(Questionnaire_Raw!$K$3:$K$62))</f>
        <v>0</v>
      </c>
    </row>
    <row r="36" spans="1:4">
      <c r="A36" s="4"/>
      <c r="B36" s="5"/>
      <c r="C36" s="4">
        <f>IF(B36="","",COUNTIF(Questionnaire_Raw!$K$3:$K$62,B36))</f>
        <v>0</v>
      </c>
      <c r="D36" s="4">
        <f>IF(OR(B36="",COUNTA(Questionnaire_Raw!$K$3:$K$62)=0),"",C36/COUNTA(Questionnaire_Raw!$K$3:$K$62))</f>
        <v>0</v>
      </c>
    </row>
    <row r="37" spans="1:4">
      <c r="A37" s="4"/>
      <c r="B37" s="5"/>
      <c r="C37" s="4">
        <f>IF(B37="","",COUNTIF(Questionnaire_Raw!$K$3:$K$62,B37))</f>
        <v>0</v>
      </c>
      <c r="D37" s="4">
        <f>IF(OR(B37="",COUNTA(Questionnaire_Raw!$K$3:$K$62)=0),"",C37/COUNTA(Questionnaire_Raw!$K$3:$K$62))</f>
        <v>0</v>
      </c>
    </row>
    <row r="38" spans="1:4">
      <c r="A38" s="4"/>
      <c r="B38" s="5"/>
      <c r="C38" s="4">
        <f>IF(B38="","",COUNTIF(Questionnaire_Raw!$K$3:$K$62,B38))</f>
        <v>0</v>
      </c>
      <c r="D38" s="4">
        <f>IF(OR(B38="",COUNTA(Questionnaire_Raw!$K$3:$K$62)=0),"",C38/COUNTA(Questionnaire_Raw!$K$3:$K$62))</f>
        <v>0</v>
      </c>
    </row>
    <row r="39" spans="1:4">
      <c r="A39" s="4"/>
      <c r="B39" s="5"/>
      <c r="C39" s="4">
        <f>IF(B39="","",COUNTIF(Questionnaire_Raw!$K$3:$K$62,B39))</f>
        <v>0</v>
      </c>
      <c r="D39" s="4">
        <f>IF(OR(B39="",COUNTA(Questionnaire_Raw!$K$3:$K$62)=0),"",C39/COUNTA(Questionnaire_Raw!$K$3:$K$62))</f>
        <v>0</v>
      </c>
    </row>
    <row r="40" spans="1:4">
      <c r="A40" s="4" t="s">
        <v>15</v>
      </c>
      <c r="B40" s="5"/>
      <c r="C40" s="4">
        <f>IF(B40="","",COUNTIF(Questionnaire_Raw!$N$3:$N$62,B40))</f>
        <v>0</v>
      </c>
      <c r="D40" s="4">
        <f>IF(OR(B40="",COUNTA(Questionnaire_Raw!$N$3:$N$62)=0),"",C40/COUNTA(Questionnaire_Raw!$N$3:$N$62))</f>
        <v>0</v>
      </c>
    </row>
    <row r="41" spans="1:4">
      <c r="A41" s="4"/>
      <c r="B41" s="5"/>
      <c r="C41" s="4">
        <f>IF(B41="","",COUNTIF(Questionnaire_Raw!$N$3:$N$62,B41))</f>
        <v>0</v>
      </c>
      <c r="D41" s="4">
        <f>IF(OR(B41="",COUNTA(Questionnaire_Raw!$N$3:$N$62)=0),"",C41/COUNTA(Questionnaire_Raw!$N$3:$N$62))</f>
        <v>0</v>
      </c>
    </row>
    <row r="42" spans="1:4">
      <c r="A42" s="4"/>
      <c r="B42" s="5"/>
      <c r="C42" s="4">
        <f>IF(B42="","",COUNTIF(Questionnaire_Raw!$N$3:$N$62,B42))</f>
        <v>0</v>
      </c>
      <c r="D42" s="4">
        <f>IF(OR(B42="",COUNTA(Questionnaire_Raw!$N$3:$N$62)=0),"",C42/COUNTA(Questionnaire_Raw!$N$3:$N$62))</f>
        <v>0</v>
      </c>
    </row>
    <row r="43" spans="1:4">
      <c r="A43" s="4"/>
      <c r="B43" s="5"/>
      <c r="C43" s="4">
        <f>IF(B43="","",COUNTIF(Questionnaire_Raw!$N$3:$N$62,B43))</f>
        <v>0</v>
      </c>
      <c r="D43" s="4">
        <f>IF(OR(B43="",COUNTA(Questionnaire_Raw!$N$3:$N$62)=0),"",C43/COUNTA(Questionnaire_Raw!$N$3:$N$62))</f>
        <v>0</v>
      </c>
    </row>
    <row r="44" spans="1:4">
      <c r="A44" s="4"/>
      <c r="B44" s="5"/>
      <c r="C44" s="4">
        <f>IF(B44="","",COUNTIF(Questionnaire_Raw!$N$3:$N$62,B44))</f>
        <v>0</v>
      </c>
      <c r="D44" s="4">
        <f>IF(OR(B44="",COUNTA(Questionnaire_Raw!$N$3:$N$62)=0),"",C44/COUNTA(Questionnaire_Raw!$N$3:$N$62))</f>
        <v>0</v>
      </c>
    </row>
    <row r="45" spans="1:4">
      <c r="A45" s="4" t="s">
        <v>17</v>
      </c>
      <c r="B45" s="5"/>
      <c r="C45" s="4">
        <f>IF(B45="","",COUNTIF(Questionnaire_Raw!$P$3:$P$62,B45))</f>
        <v>0</v>
      </c>
      <c r="D45" s="4">
        <f>IF(OR(B45="",COUNTA(Questionnaire_Raw!$P$3:$P$62)=0),"",C45/COUNTA(Questionnaire_Raw!$P$3:$P$62))</f>
        <v>0</v>
      </c>
    </row>
    <row r="46" spans="1:4">
      <c r="A46" s="4"/>
      <c r="B46" s="5"/>
      <c r="C46" s="4">
        <f>IF(B46="","",COUNTIF(Questionnaire_Raw!$P$3:$P$62,B46))</f>
        <v>0</v>
      </c>
      <c r="D46" s="4">
        <f>IF(OR(B46="",COUNTA(Questionnaire_Raw!$P$3:$P$62)=0),"",C46/COUNTA(Questionnaire_Raw!$P$3:$P$62))</f>
        <v>0</v>
      </c>
    </row>
    <row r="47" spans="1:4">
      <c r="A47" s="4"/>
      <c r="B47" s="5"/>
      <c r="C47" s="4">
        <f>IF(B47="","",COUNTIF(Questionnaire_Raw!$P$3:$P$62,B47))</f>
        <v>0</v>
      </c>
      <c r="D47" s="4">
        <f>IF(OR(B47="",COUNTA(Questionnaire_Raw!$P$3:$P$62)=0),"",C47/COUNTA(Questionnaire_Raw!$P$3:$P$62))</f>
        <v>0</v>
      </c>
    </row>
    <row r="48" spans="1:4">
      <c r="A48" s="4"/>
      <c r="B48" s="5"/>
      <c r="C48" s="4">
        <f>IF(B48="","",COUNTIF(Questionnaire_Raw!$P$3:$P$62,B48))</f>
        <v>0</v>
      </c>
      <c r="D48" s="4">
        <f>IF(OR(B48="",COUNTA(Questionnaire_Raw!$P$3:$P$62)=0),"",C48/COUNTA(Questionnaire_Raw!$P$3:$P$62))</f>
        <v>0</v>
      </c>
    </row>
    <row r="49" spans="1:4">
      <c r="A49" s="4"/>
      <c r="B49" s="5"/>
      <c r="C49" s="4">
        <f>IF(B49="","",COUNTIF(Questionnaire_Raw!$P$3:$P$62,B49))</f>
        <v>0</v>
      </c>
      <c r="D49" s="4">
        <f>IF(OR(B49="",COUNTA(Questionnaire_Raw!$P$3:$P$62)=0),"",C49/COUNTA(Questionnaire_Raw!$P$3:$P$62))</f>
        <v>0</v>
      </c>
    </row>
    <row r="50" spans="1:4">
      <c r="A50" s="4" t="s">
        <v>28</v>
      </c>
      <c r="B50" s="5"/>
      <c r="C50" s="4">
        <f>IF(B50="","",COUNTIF(Questionnaire_Raw!$AA$3:$AA$62,B50))</f>
        <v>0</v>
      </c>
      <c r="D50" s="4">
        <f>IF(OR(B50="",COUNTA(Questionnaire_Raw!$AA$3:$AA$62)=0),"",C50/COUNTA(Questionnaire_Raw!$AA$3:$AA$62))</f>
        <v>0</v>
      </c>
    </row>
    <row r="51" spans="1:4">
      <c r="A51" s="4"/>
      <c r="B51" s="5"/>
      <c r="C51" s="4">
        <f>IF(B51="","",COUNTIF(Questionnaire_Raw!$AA$3:$AA$62,B51))</f>
        <v>0</v>
      </c>
      <c r="D51" s="4">
        <f>IF(OR(B51="",COUNTA(Questionnaire_Raw!$AA$3:$AA$62)=0),"",C51/COUNTA(Questionnaire_Raw!$AA$3:$AA$62))</f>
        <v>0</v>
      </c>
    </row>
    <row r="52" spans="1:4">
      <c r="A52" s="4"/>
      <c r="B52" s="5"/>
      <c r="C52" s="4">
        <f>IF(B52="","",COUNTIF(Questionnaire_Raw!$AA$3:$AA$62,B52))</f>
        <v>0</v>
      </c>
      <c r="D52" s="4">
        <f>IF(OR(B52="",COUNTA(Questionnaire_Raw!$AA$3:$AA$62)=0),"",C52/COUNTA(Questionnaire_Raw!$AA$3:$AA$62))</f>
        <v>0</v>
      </c>
    </row>
    <row r="53" spans="1:4">
      <c r="A53" s="4"/>
      <c r="B53" s="5"/>
      <c r="C53" s="4">
        <f>IF(B53="","",COUNTIF(Questionnaire_Raw!$AA$3:$AA$62,B53))</f>
        <v>0</v>
      </c>
      <c r="D53" s="4">
        <f>IF(OR(B53="",COUNTA(Questionnaire_Raw!$AA$3:$AA$62)=0),"",C53/COUNTA(Questionnaire_Raw!$AA$3:$AA$62))</f>
        <v>0</v>
      </c>
    </row>
    <row r="54" spans="1:4">
      <c r="A54" s="4"/>
      <c r="B54" s="5"/>
      <c r="C54" s="4">
        <f>IF(B54="","",COUNTIF(Questionnaire_Raw!$AA$3:$AA$62,B54))</f>
        <v>0</v>
      </c>
      <c r="D54" s="4">
        <f>IF(OR(B54="",COUNTA(Questionnaire_Raw!$AA$3:$AA$62)=0),"",C54/COUNTA(Questionnaire_Raw!$AA$3:$AA$62))</f>
        <v>0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2.7109375" customWidth="1"/>
    <col min="4" max="4" width="10.7109375" customWidth="1"/>
    <col min="5" max="5" width="12.7109375" customWidth="1"/>
    <col min="6" max="7" width="9.7109375" customWidth="1"/>
    <col min="8" max="8" width="10.7109375" customWidth="1"/>
    <col min="9" max="9" width="50.7109375" customWidth="1"/>
    <col min="10" max="10" width="40.7109375" customWidth="1"/>
    <col min="11" max="13" width="18.7109375" customWidth="1"/>
  </cols>
  <sheetData>
    <row r="1" spans="1:13">
      <c r="A1" s="1" t="s">
        <v>120</v>
      </c>
    </row>
    <row r="2" spans="1:13" ht="4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customHeight="1">
      <c r="A3" s="3" t="s">
        <v>121</v>
      </c>
      <c r="B3" s="3" t="s">
        <v>3</v>
      </c>
      <c r="C3" s="3" t="s">
        <v>122</v>
      </c>
      <c r="D3" s="3" t="s">
        <v>123</v>
      </c>
      <c r="E3" s="3" t="s">
        <v>124</v>
      </c>
      <c r="F3" s="3" t="s">
        <v>125</v>
      </c>
      <c r="G3" s="3" t="s">
        <v>126</v>
      </c>
      <c r="H3" s="3" t="s">
        <v>127</v>
      </c>
      <c r="I3" s="3" t="s">
        <v>128</v>
      </c>
      <c r="J3" s="3" t="s">
        <v>129</v>
      </c>
      <c r="K3" s="3" t="s">
        <v>130</v>
      </c>
      <c r="L3" s="3" t="s">
        <v>131</v>
      </c>
      <c r="M3" s="3" t="s">
        <v>132</v>
      </c>
    </row>
    <row r="4" spans="1:13">
      <c r="A4" s="4" t="s">
        <v>133</v>
      </c>
      <c r="B4" s="4"/>
      <c r="C4" s="4" t="s">
        <v>134</v>
      </c>
      <c r="D4" s="4"/>
      <c r="E4" s="4"/>
      <c r="F4" s="4"/>
      <c r="G4" s="4"/>
      <c r="H4" s="4" t="s">
        <v>135</v>
      </c>
      <c r="I4" s="4"/>
      <c r="J4" s="4"/>
      <c r="K4" s="4"/>
      <c r="L4" s="4"/>
      <c r="M4" s="4"/>
    </row>
    <row r="5" spans="1:13">
      <c r="A5" s="4" t="s">
        <v>133</v>
      </c>
      <c r="B5" s="4"/>
      <c r="C5" s="4" t="s">
        <v>134</v>
      </c>
      <c r="D5" s="4"/>
      <c r="E5" s="4"/>
      <c r="F5" s="4"/>
      <c r="G5" s="4"/>
      <c r="H5" s="4" t="s">
        <v>136</v>
      </c>
      <c r="I5" s="4"/>
      <c r="J5" s="4"/>
      <c r="K5" s="4"/>
      <c r="L5" s="4"/>
      <c r="M5" s="4"/>
    </row>
    <row r="6" spans="1:13">
      <c r="A6" s="4" t="s">
        <v>133</v>
      </c>
      <c r="B6" s="4"/>
      <c r="C6" s="4" t="s">
        <v>134</v>
      </c>
      <c r="D6" s="4"/>
      <c r="E6" s="4"/>
      <c r="F6" s="4"/>
      <c r="G6" s="4"/>
      <c r="H6" s="4" t="s">
        <v>137</v>
      </c>
      <c r="I6" s="4"/>
      <c r="J6" s="4"/>
      <c r="K6" s="4"/>
      <c r="L6" s="4"/>
      <c r="M6" s="4"/>
    </row>
    <row r="7" spans="1:13">
      <c r="A7" s="4" t="s">
        <v>133</v>
      </c>
      <c r="B7" s="4"/>
      <c r="C7" s="4" t="s">
        <v>134</v>
      </c>
      <c r="D7" s="4"/>
      <c r="E7" s="4"/>
      <c r="F7" s="4"/>
      <c r="G7" s="4"/>
      <c r="H7" s="4" t="s">
        <v>138</v>
      </c>
      <c r="I7" s="4"/>
      <c r="J7" s="4"/>
      <c r="K7" s="4"/>
      <c r="L7" s="4"/>
      <c r="M7" s="4"/>
    </row>
    <row r="8" spans="1:13">
      <c r="A8" s="4" t="s">
        <v>133</v>
      </c>
      <c r="B8" s="4"/>
      <c r="C8" s="4" t="s">
        <v>134</v>
      </c>
      <c r="D8" s="4"/>
      <c r="E8" s="4"/>
      <c r="F8" s="4"/>
      <c r="G8" s="4"/>
      <c r="H8" s="4" t="s">
        <v>139</v>
      </c>
      <c r="I8" s="4"/>
      <c r="J8" s="4"/>
      <c r="K8" s="4"/>
      <c r="L8" s="4"/>
      <c r="M8" s="4"/>
    </row>
    <row r="9" spans="1:13">
      <c r="A9" s="4" t="s">
        <v>133</v>
      </c>
      <c r="B9" s="4"/>
      <c r="C9" s="4" t="s">
        <v>134</v>
      </c>
      <c r="D9" s="4"/>
      <c r="E9" s="4"/>
      <c r="F9" s="4"/>
      <c r="G9" s="4"/>
      <c r="H9" s="4" t="s">
        <v>140</v>
      </c>
      <c r="I9" s="4"/>
      <c r="J9" s="4"/>
      <c r="K9" s="4"/>
      <c r="L9" s="4"/>
      <c r="M9" s="4"/>
    </row>
    <row r="10" spans="1:13">
      <c r="A10" s="4" t="s">
        <v>133</v>
      </c>
      <c r="B10" s="4"/>
      <c r="C10" s="4" t="s">
        <v>134</v>
      </c>
      <c r="D10" s="4"/>
      <c r="E10" s="4"/>
      <c r="F10" s="4"/>
      <c r="G10" s="4"/>
      <c r="H10" s="4" t="s">
        <v>141</v>
      </c>
      <c r="I10" s="4"/>
      <c r="J10" s="4"/>
      <c r="K10" s="4"/>
      <c r="L10" s="4"/>
      <c r="M10" s="4"/>
    </row>
    <row r="11" spans="1:13">
      <c r="A11" s="4" t="s">
        <v>133</v>
      </c>
      <c r="B11" s="4"/>
      <c r="C11" s="4" t="s">
        <v>134</v>
      </c>
      <c r="D11" s="4"/>
      <c r="E11" s="4"/>
      <c r="F11" s="4"/>
      <c r="G11" s="4"/>
      <c r="H11" s="4" t="s">
        <v>142</v>
      </c>
      <c r="I11" s="4"/>
      <c r="J11" s="4"/>
      <c r="K11" s="4"/>
      <c r="L11" s="4"/>
      <c r="M11" s="4"/>
    </row>
    <row r="12" spans="1:13">
      <c r="A12" s="4" t="s">
        <v>133</v>
      </c>
      <c r="B12" s="4"/>
      <c r="C12" s="4" t="s">
        <v>134</v>
      </c>
      <c r="D12" s="4"/>
      <c r="E12" s="4"/>
      <c r="F12" s="4"/>
      <c r="G12" s="4"/>
      <c r="H12" s="4" t="s">
        <v>143</v>
      </c>
      <c r="I12" s="4"/>
      <c r="J12" s="4"/>
      <c r="K12" s="4"/>
      <c r="L12" s="4"/>
      <c r="M12" s="4"/>
    </row>
    <row r="13" spans="1:13">
      <c r="A13" s="4" t="s">
        <v>133</v>
      </c>
      <c r="B13" s="4"/>
      <c r="C13" s="4" t="s">
        <v>134</v>
      </c>
      <c r="D13" s="4"/>
      <c r="E13" s="4"/>
      <c r="F13" s="4"/>
      <c r="G13" s="4"/>
      <c r="H13" s="4" t="s">
        <v>144</v>
      </c>
      <c r="I13" s="4"/>
      <c r="J13" s="4"/>
      <c r="K13" s="4"/>
      <c r="L13" s="4"/>
      <c r="M13" s="4"/>
    </row>
    <row r="14" spans="1:13">
      <c r="A14" s="4" t="s">
        <v>133</v>
      </c>
      <c r="B14" s="4"/>
      <c r="C14" s="4" t="s">
        <v>134</v>
      </c>
      <c r="D14" s="4"/>
      <c r="E14" s="4"/>
      <c r="F14" s="4"/>
      <c r="G14" s="4"/>
      <c r="H14" s="4" t="s">
        <v>145</v>
      </c>
      <c r="I14" s="4"/>
      <c r="J14" s="4"/>
      <c r="K14" s="4"/>
      <c r="L14" s="4"/>
      <c r="M14" s="4"/>
    </row>
    <row r="15" spans="1:13">
      <c r="A15" s="4" t="s">
        <v>133</v>
      </c>
      <c r="B15" s="4"/>
      <c r="C15" s="4" t="s">
        <v>134</v>
      </c>
      <c r="D15" s="4"/>
      <c r="E15" s="4"/>
      <c r="F15" s="4"/>
      <c r="G15" s="4"/>
      <c r="H15" s="4" t="s">
        <v>146</v>
      </c>
      <c r="I15" s="4"/>
      <c r="J15" s="4"/>
      <c r="K15" s="4"/>
      <c r="L15" s="4"/>
      <c r="M15" s="4"/>
    </row>
    <row r="16" spans="1:13">
      <c r="A16" s="4" t="s">
        <v>133</v>
      </c>
      <c r="B16" s="4"/>
      <c r="C16" s="4" t="s">
        <v>134</v>
      </c>
      <c r="D16" s="4"/>
      <c r="E16" s="4"/>
      <c r="F16" s="4"/>
      <c r="G16" s="4"/>
      <c r="H16" s="4" t="s">
        <v>147</v>
      </c>
      <c r="I16" s="4"/>
      <c r="J16" s="4"/>
      <c r="K16" s="4"/>
      <c r="L16" s="4"/>
      <c r="M16" s="4"/>
    </row>
    <row r="17" spans="1:13">
      <c r="A17" s="4" t="s">
        <v>133</v>
      </c>
      <c r="B17" s="4"/>
      <c r="C17" s="4" t="s">
        <v>134</v>
      </c>
      <c r="D17" s="4"/>
      <c r="E17" s="4"/>
      <c r="F17" s="4"/>
      <c r="G17" s="4"/>
      <c r="H17" s="4" t="s">
        <v>148</v>
      </c>
      <c r="I17" s="4"/>
      <c r="J17" s="4"/>
      <c r="K17" s="4"/>
      <c r="L17" s="4"/>
      <c r="M17" s="4"/>
    </row>
    <row r="18" spans="1:13">
      <c r="A18" s="4" t="s">
        <v>149</v>
      </c>
      <c r="B18" s="4"/>
      <c r="C18" s="4" t="s">
        <v>134</v>
      </c>
      <c r="D18" s="4"/>
      <c r="E18" s="4"/>
      <c r="F18" s="4"/>
      <c r="G18" s="4"/>
      <c r="H18" s="4" t="s">
        <v>135</v>
      </c>
      <c r="I18" s="4"/>
      <c r="J18" s="4"/>
      <c r="K18" s="4"/>
      <c r="L18" s="4"/>
      <c r="M18" s="4"/>
    </row>
    <row r="19" spans="1:13">
      <c r="A19" s="4" t="s">
        <v>149</v>
      </c>
      <c r="B19" s="4"/>
      <c r="C19" s="4" t="s">
        <v>134</v>
      </c>
      <c r="D19" s="4"/>
      <c r="E19" s="4"/>
      <c r="F19" s="4"/>
      <c r="G19" s="4"/>
      <c r="H19" s="4" t="s">
        <v>136</v>
      </c>
      <c r="I19" s="4"/>
      <c r="J19" s="4"/>
      <c r="K19" s="4"/>
      <c r="L19" s="4"/>
      <c r="M19" s="4"/>
    </row>
    <row r="20" spans="1:13">
      <c r="A20" s="4" t="s">
        <v>149</v>
      </c>
      <c r="B20" s="4"/>
      <c r="C20" s="4" t="s">
        <v>134</v>
      </c>
      <c r="D20" s="4"/>
      <c r="E20" s="4"/>
      <c r="F20" s="4"/>
      <c r="G20" s="4"/>
      <c r="H20" s="4" t="s">
        <v>137</v>
      </c>
      <c r="I20" s="4"/>
      <c r="J20" s="4"/>
      <c r="K20" s="4"/>
      <c r="L20" s="4"/>
      <c r="M20" s="4"/>
    </row>
    <row r="21" spans="1:13">
      <c r="A21" s="4" t="s">
        <v>149</v>
      </c>
      <c r="B21" s="4"/>
      <c r="C21" s="4" t="s">
        <v>134</v>
      </c>
      <c r="D21" s="4"/>
      <c r="E21" s="4"/>
      <c r="F21" s="4"/>
      <c r="G21" s="4"/>
      <c r="H21" s="4" t="s">
        <v>138</v>
      </c>
      <c r="I21" s="4"/>
      <c r="J21" s="4"/>
      <c r="K21" s="4"/>
      <c r="L21" s="4"/>
      <c r="M21" s="4"/>
    </row>
    <row r="22" spans="1:13">
      <c r="A22" s="4" t="s">
        <v>149</v>
      </c>
      <c r="B22" s="4"/>
      <c r="C22" s="4" t="s">
        <v>134</v>
      </c>
      <c r="D22" s="4"/>
      <c r="E22" s="4"/>
      <c r="F22" s="4"/>
      <c r="G22" s="4"/>
      <c r="H22" s="4" t="s">
        <v>139</v>
      </c>
      <c r="I22" s="4"/>
      <c r="J22" s="4"/>
      <c r="K22" s="4"/>
      <c r="L22" s="4"/>
      <c r="M22" s="4"/>
    </row>
    <row r="23" spans="1:13">
      <c r="A23" s="4" t="s">
        <v>149</v>
      </c>
      <c r="B23" s="4"/>
      <c r="C23" s="4" t="s">
        <v>134</v>
      </c>
      <c r="D23" s="4"/>
      <c r="E23" s="4"/>
      <c r="F23" s="4"/>
      <c r="G23" s="4"/>
      <c r="H23" s="4" t="s">
        <v>140</v>
      </c>
      <c r="I23" s="4"/>
      <c r="J23" s="4"/>
      <c r="K23" s="4"/>
      <c r="L23" s="4"/>
      <c r="M23" s="4"/>
    </row>
    <row r="24" spans="1:13">
      <c r="A24" s="4" t="s">
        <v>149</v>
      </c>
      <c r="B24" s="4"/>
      <c r="C24" s="4" t="s">
        <v>134</v>
      </c>
      <c r="D24" s="4"/>
      <c r="E24" s="4"/>
      <c r="F24" s="4"/>
      <c r="G24" s="4"/>
      <c r="H24" s="4" t="s">
        <v>141</v>
      </c>
      <c r="I24" s="4"/>
      <c r="J24" s="4"/>
      <c r="K24" s="4"/>
      <c r="L24" s="4"/>
      <c r="M24" s="4"/>
    </row>
    <row r="25" spans="1:13">
      <c r="A25" s="4" t="s">
        <v>149</v>
      </c>
      <c r="B25" s="4"/>
      <c r="C25" s="4" t="s">
        <v>134</v>
      </c>
      <c r="D25" s="4"/>
      <c r="E25" s="4"/>
      <c r="F25" s="4"/>
      <c r="G25" s="4"/>
      <c r="H25" s="4" t="s">
        <v>142</v>
      </c>
      <c r="I25" s="4"/>
      <c r="J25" s="4"/>
      <c r="K25" s="4"/>
      <c r="L25" s="4"/>
      <c r="M25" s="4"/>
    </row>
    <row r="26" spans="1:13">
      <c r="A26" s="4" t="s">
        <v>149</v>
      </c>
      <c r="B26" s="4"/>
      <c r="C26" s="4" t="s">
        <v>134</v>
      </c>
      <c r="D26" s="4"/>
      <c r="E26" s="4"/>
      <c r="F26" s="4"/>
      <c r="G26" s="4"/>
      <c r="H26" s="4" t="s">
        <v>143</v>
      </c>
      <c r="I26" s="4"/>
      <c r="J26" s="4"/>
      <c r="K26" s="4"/>
      <c r="L26" s="4"/>
      <c r="M26" s="4"/>
    </row>
    <row r="27" spans="1:13">
      <c r="A27" s="4" t="s">
        <v>149</v>
      </c>
      <c r="B27" s="4"/>
      <c r="C27" s="4" t="s">
        <v>134</v>
      </c>
      <c r="D27" s="4"/>
      <c r="E27" s="4"/>
      <c r="F27" s="4"/>
      <c r="G27" s="4"/>
      <c r="H27" s="4" t="s">
        <v>144</v>
      </c>
      <c r="I27" s="4"/>
      <c r="J27" s="4"/>
      <c r="K27" s="4"/>
      <c r="L27" s="4"/>
      <c r="M27" s="4"/>
    </row>
    <row r="28" spans="1:13">
      <c r="A28" s="4" t="s">
        <v>149</v>
      </c>
      <c r="B28" s="4"/>
      <c r="C28" s="4" t="s">
        <v>134</v>
      </c>
      <c r="D28" s="4"/>
      <c r="E28" s="4"/>
      <c r="F28" s="4"/>
      <c r="G28" s="4"/>
      <c r="H28" s="4" t="s">
        <v>145</v>
      </c>
      <c r="I28" s="4"/>
      <c r="J28" s="4"/>
      <c r="K28" s="4"/>
      <c r="L28" s="4"/>
      <c r="M28" s="4"/>
    </row>
    <row r="29" spans="1:13">
      <c r="A29" s="4" t="s">
        <v>149</v>
      </c>
      <c r="B29" s="4"/>
      <c r="C29" s="4" t="s">
        <v>134</v>
      </c>
      <c r="D29" s="4"/>
      <c r="E29" s="4"/>
      <c r="F29" s="4"/>
      <c r="G29" s="4"/>
      <c r="H29" s="4" t="s">
        <v>146</v>
      </c>
      <c r="I29" s="4"/>
      <c r="J29" s="4"/>
      <c r="K29" s="4"/>
      <c r="L29" s="4"/>
      <c r="M29" s="4"/>
    </row>
    <row r="30" spans="1:13">
      <c r="A30" s="4" t="s">
        <v>149</v>
      </c>
      <c r="B30" s="4"/>
      <c r="C30" s="4" t="s">
        <v>134</v>
      </c>
      <c r="D30" s="4"/>
      <c r="E30" s="4"/>
      <c r="F30" s="4"/>
      <c r="G30" s="4"/>
      <c r="H30" s="4" t="s">
        <v>147</v>
      </c>
      <c r="I30" s="4"/>
      <c r="J30" s="4"/>
      <c r="K30" s="4"/>
      <c r="L30" s="4"/>
      <c r="M30" s="4"/>
    </row>
    <row r="31" spans="1:13">
      <c r="A31" s="4" t="s">
        <v>149</v>
      </c>
      <c r="B31" s="4"/>
      <c r="C31" s="4" t="s">
        <v>134</v>
      </c>
      <c r="D31" s="4"/>
      <c r="E31" s="4"/>
      <c r="F31" s="4"/>
      <c r="G31" s="4"/>
      <c r="H31" s="4" t="s">
        <v>148</v>
      </c>
      <c r="I31" s="4"/>
      <c r="J31" s="4"/>
      <c r="K31" s="4"/>
      <c r="L31" s="4"/>
      <c r="M31" s="4"/>
    </row>
    <row r="32" spans="1:13">
      <c r="A32" s="4" t="s">
        <v>150</v>
      </c>
      <c r="B32" s="4"/>
      <c r="C32" s="4" t="s">
        <v>134</v>
      </c>
      <c r="D32" s="4"/>
      <c r="E32" s="4"/>
      <c r="F32" s="4"/>
      <c r="G32" s="4"/>
      <c r="H32" s="4" t="s">
        <v>135</v>
      </c>
      <c r="I32" s="4"/>
      <c r="J32" s="4"/>
      <c r="K32" s="4"/>
      <c r="L32" s="4"/>
      <c r="M32" s="4"/>
    </row>
    <row r="33" spans="1:13">
      <c r="A33" s="4" t="s">
        <v>150</v>
      </c>
      <c r="B33" s="4"/>
      <c r="C33" s="4" t="s">
        <v>134</v>
      </c>
      <c r="D33" s="4"/>
      <c r="E33" s="4"/>
      <c r="F33" s="4"/>
      <c r="G33" s="4"/>
      <c r="H33" s="4" t="s">
        <v>136</v>
      </c>
      <c r="I33" s="4"/>
      <c r="J33" s="4"/>
      <c r="K33" s="4"/>
      <c r="L33" s="4"/>
      <c r="M33" s="4"/>
    </row>
    <row r="34" spans="1:13">
      <c r="A34" s="4" t="s">
        <v>150</v>
      </c>
      <c r="B34" s="4"/>
      <c r="C34" s="4" t="s">
        <v>134</v>
      </c>
      <c r="D34" s="4"/>
      <c r="E34" s="4"/>
      <c r="F34" s="4"/>
      <c r="G34" s="4"/>
      <c r="H34" s="4" t="s">
        <v>137</v>
      </c>
      <c r="I34" s="4"/>
      <c r="J34" s="4"/>
      <c r="K34" s="4"/>
      <c r="L34" s="4"/>
      <c r="M34" s="4"/>
    </row>
    <row r="35" spans="1:13">
      <c r="A35" s="4" t="s">
        <v>150</v>
      </c>
      <c r="B35" s="4"/>
      <c r="C35" s="4" t="s">
        <v>134</v>
      </c>
      <c r="D35" s="4"/>
      <c r="E35" s="4"/>
      <c r="F35" s="4"/>
      <c r="G35" s="4"/>
      <c r="H35" s="4" t="s">
        <v>138</v>
      </c>
      <c r="I35" s="4"/>
      <c r="J35" s="4"/>
      <c r="K35" s="4"/>
      <c r="L35" s="4"/>
      <c r="M35" s="4"/>
    </row>
    <row r="36" spans="1:13">
      <c r="A36" s="4" t="s">
        <v>150</v>
      </c>
      <c r="B36" s="4"/>
      <c r="C36" s="4" t="s">
        <v>134</v>
      </c>
      <c r="D36" s="4"/>
      <c r="E36" s="4"/>
      <c r="F36" s="4"/>
      <c r="G36" s="4"/>
      <c r="H36" s="4" t="s">
        <v>139</v>
      </c>
      <c r="I36" s="4"/>
      <c r="J36" s="4"/>
      <c r="K36" s="4"/>
      <c r="L36" s="4"/>
      <c r="M36" s="4"/>
    </row>
    <row r="37" spans="1:13">
      <c r="A37" s="4" t="s">
        <v>150</v>
      </c>
      <c r="B37" s="4"/>
      <c r="C37" s="4" t="s">
        <v>134</v>
      </c>
      <c r="D37" s="4"/>
      <c r="E37" s="4"/>
      <c r="F37" s="4"/>
      <c r="G37" s="4"/>
      <c r="H37" s="4" t="s">
        <v>140</v>
      </c>
      <c r="I37" s="4"/>
      <c r="J37" s="4"/>
      <c r="K37" s="4"/>
      <c r="L37" s="4"/>
      <c r="M37" s="4"/>
    </row>
    <row r="38" spans="1:13">
      <c r="A38" s="4" t="s">
        <v>150</v>
      </c>
      <c r="B38" s="4"/>
      <c r="C38" s="4" t="s">
        <v>134</v>
      </c>
      <c r="D38" s="4"/>
      <c r="E38" s="4"/>
      <c r="F38" s="4"/>
      <c r="G38" s="4"/>
      <c r="H38" s="4" t="s">
        <v>141</v>
      </c>
      <c r="I38" s="4"/>
      <c r="J38" s="4"/>
      <c r="K38" s="4"/>
      <c r="L38" s="4"/>
      <c r="M38" s="4"/>
    </row>
    <row r="39" spans="1:13">
      <c r="A39" s="4" t="s">
        <v>150</v>
      </c>
      <c r="B39" s="4"/>
      <c r="C39" s="4" t="s">
        <v>134</v>
      </c>
      <c r="D39" s="4"/>
      <c r="E39" s="4"/>
      <c r="F39" s="4"/>
      <c r="G39" s="4"/>
      <c r="H39" s="4" t="s">
        <v>142</v>
      </c>
      <c r="I39" s="4"/>
      <c r="J39" s="4"/>
      <c r="K39" s="4"/>
      <c r="L39" s="4"/>
      <c r="M39" s="4"/>
    </row>
    <row r="40" spans="1:13">
      <c r="A40" s="4" t="s">
        <v>150</v>
      </c>
      <c r="B40" s="4"/>
      <c r="C40" s="4" t="s">
        <v>134</v>
      </c>
      <c r="D40" s="4"/>
      <c r="E40" s="4"/>
      <c r="F40" s="4"/>
      <c r="G40" s="4"/>
      <c r="H40" s="4" t="s">
        <v>143</v>
      </c>
      <c r="I40" s="4"/>
      <c r="J40" s="4"/>
      <c r="K40" s="4"/>
      <c r="L40" s="4"/>
      <c r="M40" s="4"/>
    </row>
    <row r="41" spans="1:13">
      <c r="A41" s="4" t="s">
        <v>150</v>
      </c>
      <c r="B41" s="4"/>
      <c r="C41" s="4" t="s">
        <v>134</v>
      </c>
      <c r="D41" s="4"/>
      <c r="E41" s="4"/>
      <c r="F41" s="4"/>
      <c r="G41" s="4"/>
      <c r="H41" s="4" t="s">
        <v>144</v>
      </c>
      <c r="I41" s="4"/>
      <c r="J41" s="4"/>
      <c r="K41" s="4"/>
      <c r="L41" s="4"/>
      <c r="M41" s="4"/>
    </row>
    <row r="42" spans="1:13">
      <c r="A42" s="4" t="s">
        <v>150</v>
      </c>
      <c r="B42" s="4"/>
      <c r="C42" s="4" t="s">
        <v>134</v>
      </c>
      <c r="D42" s="4"/>
      <c r="E42" s="4"/>
      <c r="F42" s="4"/>
      <c r="G42" s="4"/>
      <c r="H42" s="4" t="s">
        <v>145</v>
      </c>
      <c r="I42" s="4"/>
      <c r="J42" s="4"/>
      <c r="K42" s="4"/>
      <c r="L42" s="4"/>
      <c r="M42" s="4"/>
    </row>
    <row r="43" spans="1:13">
      <c r="A43" s="4" t="s">
        <v>150</v>
      </c>
      <c r="B43" s="4"/>
      <c r="C43" s="4" t="s">
        <v>134</v>
      </c>
      <c r="D43" s="4"/>
      <c r="E43" s="4"/>
      <c r="F43" s="4"/>
      <c r="G43" s="4"/>
      <c r="H43" s="4" t="s">
        <v>146</v>
      </c>
      <c r="I43" s="4"/>
      <c r="J43" s="4"/>
      <c r="K43" s="4"/>
      <c r="L43" s="4"/>
      <c r="M43" s="4"/>
    </row>
    <row r="44" spans="1:13">
      <c r="A44" s="4" t="s">
        <v>150</v>
      </c>
      <c r="B44" s="4"/>
      <c r="C44" s="4" t="s">
        <v>134</v>
      </c>
      <c r="D44" s="4"/>
      <c r="E44" s="4"/>
      <c r="F44" s="4"/>
      <c r="G44" s="4"/>
      <c r="H44" s="4" t="s">
        <v>147</v>
      </c>
      <c r="I44" s="4"/>
      <c r="J44" s="4"/>
      <c r="K44" s="4"/>
      <c r="L44" s="4"/>
      <c r="M44" s="4"/>
    </row>
    <row r="45" spans="1:13">
      <c r="A45" s="4" t="s">
        <v>150</v>
      </c>
      <c r="B45" s="4"/>
      <c r="C45" s="4" t="s">
        <v>134</v>
      </c>
      <c r="D45" s="4"/>
      <c r="E45" s="4"/>
      <c r="F45" s="4"/>
      <c r="G45" s="4"/>
      <c r="H45" s="4" t="s">
        <v>148</v>
      </c>
      <c r="I45" s="4"/>
      <c r="J45" s="4"/>
      <c r="K45" s="4"/>
      <c r="L45" s="4"/>
      <c r="M45" s="4"/>
    </row>
    <row r="46" spans="1:13">
      <c r="A46" s="4" t="s">
        <v>151</v>
      </c>
      <c r="B46" s="4"/>
      <c r="C46" s="4" t="s">
        <v>134</v>
      </c>
      <c r="D46" s="4"/>
      <c r="E46" s="4"/>
      <c r="F46" s="4"/>
      <c r="G46" s="4"/>
      <c r="H46" s="4" t="s">
        <v>135</v>
      </c>
      <c r="I46" s="4"/>
      <c r="J46" s="4"/>
      <c r="K46" s="4"/>
      <c r="L46" s="4"/>
      <c r="M46" s="4"/>
    </row>
    <row r="47" spans="1:13">
      <c r="A47" s="4" t="s">
        <v>151</v>
      </c>
      <c r="B47" s="4"/>
      <c r="C47" s="4" t="s">
        <v>134</v>
      </c>
      <c r="D47" s="4"/>
      <c r="E47" s="4"/>
      <c r="F47" s="4"/>
      <c r="G47" s="4"/>
      <c r="H47" s="4" t="s">
        <v>136</v>
      </c>
      <c r="I47" s="4"/>
      <c r="J47" s="4"/>
      <c r="K47" s="4"/>
      <c r="L47" s="4"/>
      <c r="M47" s="4"/>
    </row>
    <row r="48" spans="1:13">
      <c r="A48" s="4" t="s">
        <v>151</v>
      </c>
      <c r="B48" s="4"/>
      <c r="C48" s="4" t="s">
        <v>134</v>
      </c>
      <c r="D48" s="4"/>
      <c r="E48" s="4"/>
      <c r="F48" s="4"/>
      <c r="G48" s="4"/>
      <c r="H48" s="4" t="s">
        <v>137</v>
      </c>
      <c r="I48" s="4"/>
      <c r="J48" s="4"/>
      <c r="K48" s="4"/>
      <c r="L48" s="4"/>
      <c r="M48" s="4"/>
    </row>
    <row r="49" spans="1:13">
      <c r="A49" s="4" t="s">
        <v>151</v>
      </c>
      <c r="B49" s="4"/>
      <c r="C49" s="4" t="s">
        <v>134</v>
      </c>
      <c r="D49" s="4"/>
      <c r="E49" s="4"/>
      <c r="F49" s="4"/>
      <c r="G49" s="4"/>
      <c r="H49" s="4" t="s">
        <v>138</v>
      </c>
      <c r="I49" s="4"/>
      <c r="J49" s="4"/>
      <c r="K49" s="4"/>
      <c r="L49" s="4"/>
      <c r="M49" s="4"/>
    </row>
    <row r="50" spans="1:13">
      <c r="A50" s="4" t="s">
        <v>151</v>
      </c>
      <c r="B50" s="4"/>
      <c r="C50" s="4" t="s">
        <v>134</v>
      </c>
      <c r="D50" s="4"/>
      <c r="E50" s="4"/>
      <c r="F50" s="4"/>
      <c r="G50" s="4"/>
      <c r="H50" s="4" t="s">
        <v>139</v>
      </c>
      <c r="I50" s="4"/>
      <c r="J50" s="4"/>
      <c r="K50" s="4"/>
      <c r="L50" s="4"/>
      <c r="M50" s="4"/>
    </row>
    <row r="51" spans="1:13">
      <c r="A51" s="4" t="s">
        <v>151</v>
      </c>
      <c r="B51" s="4"/>
      <c r="C51" s="4" t="s">
        <v>134</v>
      </c>
      <c r="D51" s="4"/>
      <c r="E51" s="4"/>
      <c r="F51" s="4"/>
      <c r="G51" s="4"/>
      <c r="H51" s="4" t="s">
        <v>140</v>
      </c>
      <c r="I51" s="4"/>
      <c r="J51" s="4"/>
      <c r="K51" s="4"/>
      <c r="L51" s="4"/>
      <c r="M51" s="4"/>
    </row>
    <row r="52" spans="1:13">
      <c r="A52" s="4" t="s">
        <v>151</v>
      </c>
      <c r="B52" s="4"/>
      <c r="C52" s="4" t="s">
        <v>134</v>
      </c>
      <c r="D52" s="4"/>
      <c r="E52" s="4"/>
      <c r="F52" s="4"/>
      <c r="G52" s="4"/>
      <c r="H52" s="4" t="s">
        <v>141</v>
      </c>
      <c r="I52" s="4"/>
      <c r="J52" s="4"/>
      <c r="K52" s="4"/>
      <c r="L52" s="4"/>
      <c r="M52" s="4"/>
    </row>
    <row r="53" spans="1:13">
      <c r="A53" s="4" t="s">
        <v>151</v>
      </c>
      <c r="B53" s="4"/>
      <c r="C53" s="4" t="s">
        <v>134</v>
      </c>
      <c r="D53" s="4"/>
      <c r="E53" s="4"/>
      <c r="F53" s="4"/>
      <c r="G53" s="4"/>
      <c r="H53" s="4" t="s">
        <v>142</v>
      </c>
      <c r="I53" s="4"/>
      <c r="J53" s="4"/>
      <c r="K53" s="4"/>
      <c r="L53" s="4"/>
      <c r="M53" s="4"/>
    </row>
    <row r="54" spans="1:13">
      <c r="A54" s="4" t="s">
        <v>151</v>
      </c>
      <c r="B54" s="4"/>
      <c r="C54" s="4" t="s">
        <v>134</v>
      </c>
      <c r="D54" s="4"/>
      <c r="E54" s="4"/>
      <c r="F54" s="4"/>
      <c r="G54" s="4"/>
      <c r="H54" s="4" t="s">
        <v>143</v>
      </c>
      <c r="I54" s="4"/>
      <c r="J54" s="4"/>
      <c r="K54" s="4"/>
      <c r="L54" s="4"/>
      <c r="M54" s="4"/>
    </row>
    <row r="55" spans="1:13">
      <c r="A55" s="4" t="s">
        <v>151</v>
      </c>
      <c r="B55" s="4"/>
      <c r="C55" s="4" t="s">
        <v>134</v>
      </c>
      <c r="D55" s="4"/>
      <c r="E55" s="4"/>
      <c r="F55" s="4"/>
      <c r="G55" s="4"/>
      <c r="H55" s="4" t="s">
        <v>144</v>
      </c>
      <c r="I55" s="4"/>
      <c r="J55" s="4"/>
      <c r="K55" s="4"/>
      <c r="L55" s="4"/>
      <c r="M55" s="4"/>
    </row>
    <row r="56" spans="1:13">
      <c r="A56" s="4" t="s">
        <v>151</v>
      </c>
      <c r="B56" s="4"/>
      <c r="C56" s="4" t="s">
        <v>134</v>
      </c>
      <c r="D56" s="4"/>
      <c r="E56" s="4"/>
      <c r="F56" s="4"/>
      <c r="G56" s="4"/>
      <c r="H56" s="4" t="s">
        <v>145</v>
      </c>
      <c r="I56" s="4"/>
      <c r="J56" s="4"/>
      <c r="K56" s="4"/>
      <c r="L56" s="4"/>
      <c r="M56" s="4"/>
    </row>
    <row r="57" spans="1:13">
      <c r="A57" s="4" t="s">
        <v>151</v>
      </c>
      <c r="B57" s="4"/>
      <c r="C57" s="4" t="s">
        <v>134</v>
      </c>
      <c r="D57" s="4"/>
      <c r="E57" s="4"/>
      <c r="F57" s="4"/>
      <c r="G57" s="4"/>
      <c r="H57" s="4" t="s">
        <v>146</v>
      </c>
      <c r="I57" s="4"/>
      <c r="J57" s="4"/>
      <c r="K57" s="4"/>
      <c r="L57" s="4"/>
      <c r="M57" s="4"/>
    </row>
    <row r="58" spans="1:13">
      <c r="A58" s="4" t="s">
        <v>151</v>
      </c>
      <c r="B58" s="4"/>
      <c r="C58" s="4" t="s">
        <v>134</v>
      </c>
      <c r="D58" s="4"/>
      <c r="E58" s="4"/>
      <c r="F58" s="4"/>
      <c r="G58" s="4"/>
      <c r="H58" s="4" t="s">
        <v>147</v>
      </c>
      <c r="I58" s="4"/>
      <c r="J58" s="4"/>
      <c r="K58" s="4"/>
      <c r="L58" s="4"/>
      <c r="M58" s="4"/>
    </row>
    <row r="59" spans="1:13">
      <c r="A59" s="4" t="s">
        <v>151</v>
      </c>
      <c r="B59" s="4"/>
      <c r="C59" s="4" t="s">
        <v>134</v>
      </c>
      <c r="D59" s="4"/>
      <c r="E59" s="4"/>
      <c r="F59" s="4"/>
      <c r="G59" s="4"/>
      <c r="H59" s="4" t="s">
        <v>148</v>
      </c>
      <c r="I59" s="4"/>
      <c r="J59" s="4"/>
      <c r="K59" s="4"/>
      <c r="L59" s="4"/>
      <c r="M59" s="4"/>
    </row>
    <row r="60" spans="1:13">
      <c r="A60" s="4" t="s">
        <v>152</v>
      </c>
      <c r="B60" s="4"/>
      <c r="C60" s="4" t="s">
        <v>134</v>
      </c>
      <c r="D60" s="4"/>
      <c r="E60" s="4"/>
      <c r="F60" s="4"/>
      <c r="G60" s="4"/>
      <c r="H60" s="4" t="s">
        <v>135</v>
      </c>
      <c r="I60" s="4"/>
      <c r="J60" s="4"/>
      <c r="K60" s="4"/>
      <c r="L60" s="4"/>
      <c r="M60" s="4"/>
    </row>
    <row r="61" spans="1:13">
      <c r="A61" s="4" t="s">
        <v>152</v>
      </c>
      <c r="B61" s="4"/>
      <c r="C61" s="4" t="s">
        <v>134</v>
      </c>
      <c r="D61" s="4"/>
      <c r="E61" s="4"/>
      <c r="F61" s="4"/>
      <c r="G61" s="4"/>
      <c r="H61" s="4" t="s">
        <v>136</v>
      </c>
      <c r="I61" s="4"/>
      <c r="J61" s="4"/>
      <c r="K61" s="4"/>
      <c r="L61" s="4"/>
      <c r="M61" s="4"/>
    </row>
    <row r="62" spans="1:13">
      <c r="A62" s="4" t="s">
        <v>152</v>
      </c>
      <c r="B62" s="4"/>
      <c r="C62" s="4" t="s">
        <v>134</v>
      </c>
      <c r="D62" s="4"/>
      <c r="E62" s="4"/>
      <c r="F62" s="4"/>
      <c r="G62" s="4"/>
      <c r="H62" s="4" t="s">
        <v>137</v>
      </c>
      <c r="I62" s="4"/>
      <c r="J62" s="4"/>
      <c r="K62" s="4"/>
      <c r="L62" s="4"/>
      <c r="M62" s="4"/>
    </row>
    <row r="63" spans="1:13">
      <c r="A63" s="4" t="s">
        <v>152</v>
      </c>
      <c r="B63" s="4"/>
      <c r="C63" s="4" t="s">
        <v>134</v>
      </c>
      <c r="D63" s="4"/>
      <c r="E63" s="4"/>
      <c r="F63" s="4"/>
      <c r="G63" s="4"/>
      <c r="H63" s="4" t="s">
        <v>138</v>
      </c>
      <c r="I63" s="4"/>
      <c r="J63" s="4"/>
      <c r="K63" s="4"/>
      <c r="L63" s="4"/>
      <c r="M63" s="4"/>
    </row>
    <row r="64" spans="1:13">
      <c r="A64" s="4" t="s">
        <v>152</v>
      </c>
      <c r="B64" s="4"/>
      <c r="C64" s="4" t="s">
        <v>134</v>
      </c>
      <c r="D64" s="4"/>
      <c r="E64" s="4"/>
      <c r="F64" s="4"/>
      <c r="G64" s="4"/>
      <c r="H64" s="4" t="s">
        <v>139</v>
      </c>
      <c r="I64" s="4"/>
      <c r="J64" s="4"/>
      <c r="K64" s="4"/>
      <c r="L64" s="4"/>
      <c r="M64" s="4"/>
    </row>
    <row r="65" spans="1:13">
      <c r="A65" s="4" t="s">
        <v>152</v>
      </c>
      <c r="B65" s="4"/>
      <c r="C65" s="4" t="s">
        <v>134</v>
      </c>
      <c r="D65" s="4"/>
      <c r="E65" s="4"/>
      <c r="F65" s="4"/>
      <c r="G65" s="4"/>
      <c r="H65" s="4" t="s">
        <v>140</v>
      </c>
      <c r="I65" s="4"/>
      <c r="J65" s="4"/>
      <c r="K65" s="4"/>
      <c r="L65" s="4"/>
      <c r="M65" s="4"/>
    </row>
    <row r="66" spans="1:13">
      <c r="A66" s="4" t="s">
        <v>152</v>
      </c>
      <c r="B66" s="4"/>
      <c r="C66" s="4" t="s">
        <v>134</v>
      </c>
      <c r="D66" s="4"/>
      <c r="E66" s="4"/>
      <c r="F66" s="4"/>
      <c r="G66" s="4"/>
      <c r="H66" s="4" t="s">
        <v>141</v>
      </c>
      <c r="I66" s="4"/>
      <c r="J66" s="4"/>
      <c r="K66" s="4"/>
      <c r="L66" s="4"/>
      <c r="M66" s="4"/>
    </row>
    <row r="67" spans="1:13">
      <c r="A67" s="4" t="s">
        <v>152</v>
      </c>
      <c r="B67" s="4"/>
      <c r="C67" s="4" t="s">
        <v>134</v>
      </c>
      <c r="D67" s="4"/>
      <c r="E67" s="4"/>
      <c r="F67" s="4"/>
      <c r="G67" s="4"/>
      <c r="H67" s="4" t="s">
        <v>142</v>
      </c>
      <c r="I67" s="4"/>
      <c r="J67" s="4"/>
      <c r="K67" s="4"/>
      <c r="L67" s="4"/>
      <c r="M67" s="4"/>
    </row>
    <row r="68" spans="1:13">
      <c r="A68" s="4" t="s">
        <v>152</v>
      </c>
      <c r="B68" s="4"/>
      <c r="C68" s="4" t="s">
        <v>134</v>
      </c>
      <c r="D68" s="4"/>
      <c r="E68" s="4"/>
      <c r="F68" s="4"/>
      <c r="G68" s="4"/>
      <c r="H68" s="4" t="s">
        <v>143</v>
      </c>
      <c r="I68" s="4"/>
      <c r="J68" s="4"/>
      <c r="K68" s="4"/>
      <c r="L68" s="4"/>
      <c r="M68" s="4"/>
    </row>
    <row r="69" spans="1:13">
      <c r="A69" s="4" t="s">
        <v>152</v>
      </c>
      <c r="B69" s="4"/>
      <c r="C69" s="4" t="s">
        <v>134</v>
      </c>
      <c r="D69" s="4"/>
      <c r="E69" s="4"/>
      <c r="F69" s="4"/>
      <c r="G69" s="4"/>
      <c r="H69" s="4" t="s">
        <v>144</v>
      </c>
      <c r="I69" s="4"/>
      <c r="J69" s="4"/>
      <c r="K69" s="4"/>
      <c r="L69" s="4"/>
      <c r="M69" s="4"/>
    </row>
    <row r="70" spans="1:13">
      <c r="A70" s="4" t="s">
        <v>152</v>
      </c>
      <c r="B70" s="4"/>
      <c r="C70" s="4" t="s">
        <v>134</v>
      </c>
      <c r="D70" s="4"/>
      <c r="E70" s="4"/>
      <c r="F70" s="4"/>
      <c r="G70" s="4"/>
      <c r="H70" s="4" t="s">
        <v>145</v>
      </c>
      <c r="I70" s="4"/>
      <c r="J70" s="4"/>
      <c r="K70" s="4"/>
      <c r="L70" s="4"/>
      <c r="M70" s="4"/>
    </row>
    <row r="71" spans="1:13">
      <c r="A71" s="4" t="s">
        <v>152</v>
      </c>
      <c r="B71" s="4"/>
      <c r="C71" s="4" t="s">
        <v>134</v>
      </c>
      <c r="D71" s="4"/>
      <c r="E71" s="4"/>
      <c r="F71" s="4"/>
      <c r="G71" s="4"/>
      <c r="H71" s="4" t="s">
        <v>146</v>
      </c>
      <c r="I71" s="4"/>
      <c r="J71" s="4"/>
      <c r="K71" s="4"/>
      <c r="L71" s="4"/>
      <c r="M71" s="4"/>
    </row>
    <row r="72" spans="1:13">
      <c r="A72" s="4" t="s">
        <v>152</v>
      </c>
      <c r="B72" s="4"/>
      <c r="C72" s="4" t="s">
        <v>134</v>
      </c>
      <c r="D72" s="4"/>
      <c r="E72" s="4"/>
      <c r="F72" s="4"/>
      <c r="G72" s="4"/>
      <c r="H72" s="4" t="s">
        <v>147</v>
      </c>
      <c r="I72" s="4"/>
      <c r="J72" s="4"/>
      <c r="K72" s="4"/>
      <c r="L72" s="4"/>
      <c r="M72" s="4"/>
    </row>
    <row r="73" spans="1:13">
      <c r="A73" s="4" t="s">
        <v>152</v>
      </c>
      <c r="B73" s="4"/>
      <c r="C73" s="4" t="s">
        <v>134</v>
      </c>
      <c r="D73" s="4"/>
      <c r="E73" s="4"/>
      <c r="F73" s="4"/>
      <c r="G73" s="4"/>
      <c r="H73" s="4" t="s">
        <v>148</v>
      </c>
      <c r="I73" s="4"/>
      <c r="J73" s="4"/>
      <c r="K73" s="4"/>
      <c r="L73" s="4"/>
      <c r="M73" s="4"/>
    </row>
    <row r="74" spans="1:13">
      <c r="A74" s="4" t="s">
        <v>153</v>
      </c>
      <c r="B74" s="4"/>
      <c r="C74" s="4" t="s">
        <v>134</v>
      </c>
      <c r="D74" s="4"/>
      <c r="E74" s="4"/>
      <c r="F74" s="4"/>
      <c r="G74" s="4"/>
      <c r="H74" s="4" t="s">
        <v>135</v>
      </c>
      <c r="I74" s="4"/>
      <c r="J74" s="4"/>
      <c r="K74" s="4"/>
      <c r="L74" s="4"/>
      <c r="M74" s="4"/>
    </row>
    <row r="75" spans="1:13">
      <c r="A75" s="4" t="s">
        <v>153</v>
      </c>
      <c r="B75" s="4"/>
      <c r="C75" s="4" t="s">
        <v>134</v>
      </c>
      <c r="D75" s="4"/>
      <c r="E75" s="4"/>
      <c r="F75" s="4"/>
      <c r="G75" s="4"/>
      <c r="H75" s="4" t="s">
        <v>136</v>
      </c>
      <c r="I75" s="4"/>
      <c r="J75" s="4"/>
      <c r="K75" s="4"/>
      <c r="L75" s="4"/>
      <c r="M75" s="4"/>
    </row>
    <row r="76" spans="1:13">
      <c r="A76" s="4" t="s">
        <v>153</v>
      </c>
      <c r="B76" s="4"/>
      <c r="C76" s="4" t="s">
        <v>134</v>
      </c>
      <c r="D76" s="4"/>
      <c r="E76" s="4"/>
      <c r="F76" s="4"/>
      <c r="G76" s="4"/>
      <c r="H76" s="4" t="s">
        <v>137</v>
      </c>
      <c r="I76" s="4"/>
      <c r="J76" s="4"/>
      <c r="K76" s="4"/>
      <c r="L76" s="4"/>
      <c r="M76" s="4"/>
    </row>
    <row r="77" spans="1:13">
      <c r="A77" s="4" t="s">
        <v>153</v>
      </c>
      <c r="B77" s="4"/>
      <c r="C77" s="4" t="s">
        <v>134</v>
      </c>
      <c r="D77" s="4"/>
      <c r="E77" s="4"/>
      <c r="F77" s="4"/>
      <c r="G77" s="4"/>
      <c r="H77" s="4" t="s">
        <v>138</v>
      </c>
      <c r="I77" s="4"/>
      <c r="J77" s="4"/>
      <c r="K77" s="4"/>
      <c r="L77" s="4"/>
      <c r="M77" s="4"/>
    </row>
    <row r="78" spans="1:13">
      <c r="A78" s="4" t="s">
        <v>153</v>
      </c>
      <c r="B78" s="4"/>
      <c r="C78" s="4" t="s">
        <v>134</v>
      </c>
      <c r="D78" s="4"/>
      <c r="E78" s="4"/>
      <c r="F78" s="4"/>
      <c r="G78" s="4"/>
      <c r="H78" s="4" t="s">
        <v>139</v>
      </c>
      <c r="I78" s="4"/>
      <c r="J78" s="4"/>
      <c r="K78" s="4"/>
      <c r="L78" s="4"/>
      <c r="M78" s="4"/>
    </row>
    <row r="79" spans="1:13">
      <c r="A79" s="4" t="s">
        <v>153</v>
      </c>
      <c r="B79" s="4"/>
      <c r="C79" s="4" t="s">
        <v>134</v>
      </c>
      <c r="D79" s="4"/>
      <c r="E79" s="4"/>
      <c r="F79" s="4"/>
      <c r="G79" s="4"/>
      <c r="H79" s="4" t="s">
        <v>140</v>
      </c>
      <c r="I79" s="4"/>
      <c r="J79" s="4"/>
      <c r="K79" s="4"/>
      <c r="L79" s="4"/>
      <c r="M79" s="4"/>
    </row>
    <row r="80" spans="1:13">
      <c r="A80" s="4" t="s">
        <v>153</v>
      </c>
      <c r="B80" s="4"/>
      <c r="C80" s="4" t="s">
        <v>134</v>
      </c>
      <c r="D80" s="4"/>
      <c r="E80" s="4"/>
      <c r="F80" s="4"/>
      <c r="G80" s="4"/>
      <c r="H80" s="4" t="s">
        <v>141</v>
      </c>
      <c r="I80" s="4"/>
      <c r="J80" s="4"/>
      <c r="K80" s="4"/>
      <c r="L80" s="4"/>
      <c r="M80" s="4"/>
    </row>
    <row r="81" spans="1:13">
      <c r="A81" s="4" t="s">
        <v>153</v>
      </c>
      <c r="B81" s="4"/>
      <c r="C81" s="4" t="s">
        <v>134</v>
      </c>
      <c r="D81" s="4"/>
      <c r="E81" s="4"/>
      <c r="F81" s="4"/>
      <c r="G81" s="4"/>
      <c r="H81" s="4" t="s">
        <v>142</v>
      </c>
      <c r="I81" s="4"/>
      <c r="J81" s="4"/>
      <c r="K81" s="4"/>
      <c r="L81" s="4"/>
      <c r="M81" s="4"/>
    </row>
    <row r="82" spans="1:13">
      <c r="A82" s="4" t="s">
        <v>153</v>
      </c>
      <c r="B82" s="4"/>
      <c r="C82" s="4" t="s">
        <v>134</v>
      </c>
      <c r="D82" s="4"/>
      <c r="E82" s="4"/>
      <c r="F82" s="4"/>
      <c r="G82" s="4"/>
      <c r="H82" s="4" t="s">
        <v>143</v>
      </c>
      <c r="I82" s="4"/>
      <c r="J82" s="4"/>
      <c r="K82" s="4"/>
      <c r="L82" s="4"/>
      <c r="M82" s="4"/>
    </row>
    <row r="83" spans="1:13">
      <c r="A83" s="4" t="s">
        <v>153</v>
      </c>
      <c r="B83" s="4"/>
      <c r="C83" s="4" t="s">
        <v>134</v>
      </c>
      <c r="D83" s="4"/>
      <c r="E83" s="4"/>
      <c r="F83" s="4"/>
      <c r="G83" s="4"/>
      <c r="H83" s="4" t="s">
        <v>144</v>
      </c>
      <c r="I83" s="4"/>
      <c r="J83" s="4"/>
      <c r="K83" s="4"/>
      <c r="L83" s="4"/>
      <c r="M83" s="4"/>
    </row>
    <row r="84" spans="1:13">
      <c r="A84" s="4" t="s">
        <v>153</v>
      </c>
      <c r="B84" s="4"/>
      <c r="C84" s="4" t="s">
        <v>134</v>
      </c>
      <c r="D84" s="4"/>
      <c r="E84" s="4"/>
      <c r="F84" s="4"/>
      <c r="G84" s="4"/>
      <c r="H84" s="4" t="s">
        <v>145</v>
      </c>
      <c r="I84" s="4"/>
      <c r="J84" s="4"/>
      <c r="K84" s="4"/>
      <c r="L84" s="4"/>
      <c r="M84" s="4"/>
    </row>
    <row r="85" spans="1:13">
      <c r="A85" s="4" t="s">
        <v>153</v>
      </c>
      <c r="B85" s="4"/>
      <c r="C85" s="4" t="s">
        <v>134</v>
      </c>
      <c r="D85" s="4"/>
      <c r="E85" s="4"/>
      <c r="F85" s="4"/>
      <c r="G85" s="4"/>
      <c r="H85" s="4" t="s">
        <v>146</v>
      </c>
      <c r="I85" s="4"/>
      <c r="J85" s="4"/>
      <c r="K85" s="4"/>
      <c r="L85" s="4"/>
      <c r="M85" s="4"/>
    </row>
    <row r="86" spans="1:13">
      <c r="A86" s="4" t="s">
        <v>153</v>
      </c>
      <c r="B86" s="4"/>
      <c r="C86" s="4" t="s">
        <v>134</v>
      </c>
      <c r="D86" s="4"/>
      <c r="E86" s="4"/>
      <c r="F86" s="4"/>
      <c r="G86" s="4"/>
      <c r="H86" s="4" t="s">
        <v>147</v>
      </c>
      <c r="I86" s="4"/>
      <c r="J86" s="4"/>
      <c r="K86" s="4"/>
      <c r="L86" s="4"/>
      <c r="M86" s="4"/>
    </row>
    <row r="87" spans="1:13">
      <c r="A87" s="4" t="s">
        <v>153</v>
      </c>
      <c r="B87" s="4"/>
      <c r="C87" s="4" t="s">
        <v>134</v>
      </c>
      <c r="D87" s="4"/>
      <c r="E87" s="4"/>
      <c r="F87" s="4"/>
      <c r="G87" s="4"/>
      <c r="H87" s="4" t="s">
        <v>148</v>
      </c>
      <c r="I87" s="4"/>
      <c r="J87" s="4"/>
      <c r="K87" s="4"/>
      <c r="L87" s="4"/>
      <c r="M87" s="4"/>
    </row>
  </sheetData>
  <autoFilter ref="A3:M87"/>
  <mergeCells count="1">
    <mergeCell ref="A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12.7109375" customWidth="1"/>
    <col min="4" max="4" width="8.7109375" customWidth="1"/>
    <col min="5" max="6" width="11.7109375" customWidth="1"/>
    <col min="7" max="7" width="8.7109375" customWidth="1"/>
    <col min="8" max="9" width="12.7109375" customWidth="1"/>
    <col min="10" max="10" width="14.7109375" customWidth="1"/>
    <col min="11" max="11" width="16.7109375" customWidth="1"/>
    <col min="12" max="12" width="12.7109375" customWidth="1"/>
    <col min="13" max="13" width="14.7109375" customWidth="1"/>
    <col min="14" max="14" width="50.7109375" customWidth="1"/>
  </cols>
  <sheetData>
    <row r="1" spans="1:14">
      <c r="A1" s="1" t="s">
        <v>154</v>
      </c>
    </row>
    <row r="2" spans="1:14" ht="4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0" customHeight="1">
      <c r="A3" s="3" t="s">
        <v>155</v>
      </c>
      <c r="B3" s="3" t="s">
        <v>3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163</v>
      </c>
      <c r="K3" s="3" t="s">
        <v>164</v>
      </c>
      <c r="L3" s="3" t="s">
        <v>165</v>
      </c>
      <c r="M3" s="3" t="s">
        <v>166</v>
      </c>
      <c r="N3" s="3" t="s">
        <v>167</v>
      </c>
    </row>
    <row r="4" spans="1:14">
      <c r="A4" s="4" t="s">
        <v>168</v>
      </c>
      <c r="B4" s="4"/>
      <c r="C4" s="4"/>
      <c r="D4" s="4"/>
      <c r="E4" s="4"/>
      <c r="F4" s="4"/>
      <c r="G4" s="4" t="s">
        <v>169</v>
      </c>
      <c r="H4" s="4"/>
      <c r="I4" s="4"/>
      <c r="J4" s="4"/>
      <c r="K4" s="4"/>
      <c r="L4" s="4"/>
      <c r="M4" s="4"/>
      <c r="N4" s="4"/>
    </row>
    <row r="5" spans="1:14">
      <c r="A5" s="4" t="s">
        <v>168</v>
      </c>
      <c r="B5" s="4"/>
      <c r="C5" s="4"/>
      <c r="D5" s="4"/>
      <c r="E5" s="4"/>
      <c r="F5" s="4"/>
      <c r="G5" s="4" t="s">
        <v>170</v>
      </c>
      <c r="H5" s="4"/>
      <c r="I5" s="4"/>
      <c r="J5" s="4"/>
      <c r="K5" s="4"/>
      <c r="L5" s="4"/>
      <c r="M5" s="4"/>
      <c r="N5" s="4"/>
    </row>
    <row r="6" spans="1:14">
      <c r="A6" s="4" t="s">
        <v>168</v>
      </c>
      <c r="B6" s="4"/>
      <c r="C6" s="4"/>
      <c r="D6" s="4"/>
      <c r="E6" s="4"/>
      <c r="F6" s="4"/>
      <c r="G6" s="4" t="s">
        <v>171</v>
      </c>
      <c r="H6" s="4"/>
      <c r="I6" s="4"/>
      <c r="J6" s="4"/>
      <c r="K6" s="4"/>
      <c r="L6" s="4"/>
      <c r="M6" s="4"/>
      <c r="N6" s="4"/>
    </row>
    <row r="7" spans="1:14">
      <c r="A7" s="4" t="s">
        <v>168</v>
      </c>
      <c r="B7" s="4"/>
      <c r="C7" s="4"/>
      <c r="D7" s="4"/>
      <c r="E7" s="4"/>
      <c r="F7" s="4"/>
      <c r="G7" s="4" t="s">
        <v>172</v>
      </c>
      <c r="H7" s="4"/>
      <c r="I7" s="4"/>
      <c r="J7" s="4"/>
      <c r="K7" s="4"/>
      <c r="L7" s="4"/>
      <c r="M7" s="4"/>
      <c r="N7" s="4"/>
    </row>
    <row r="8" spans="1:14">
      <c r="A8" s="4" t="s">
        <v>168</v>
      </c>
      <c r="B8" s="4"/>
      <c r="C8" s="4"/>
      <c r="D8" s="4"/>
      <c r="E8" s="4"/>
      <c r="F8" s="4"/>
      <c r="G8" s="4" t="s">
        <v>173</v>
      </c>
      <c r="H8" s="4"/>
      <c r="I8" s="4"/>
      <c r="J8" s="4"/>
      <c r="K8" s="4"/>
      <c r="L8" s="4"/>
      <c r="M8" s="4"/>
      <c r="N8" s="4"/>
    </row>
    <row r="9" spans="1:14">
      <c r="A9" s="4" t="s">
        <v>168</v>
      </c>
      <c r="B9" s="4"/>
      <c r="C9" s="4"/>
      <c r="D9" s="4"/>
      <c r="E9" s="4"/>
      <c r="F9" s="4"/>
      <c r="G9" s="4" t="s">
        <v>174</v>
      </c>
      <c r="H9" s="4"/>
      <c r="I9" s="4"/>
      <c r="J9" s="4"/>
      <c r="K9" s="4"/>
      <c r="L9" s="4"/>
      <c r="M9" s="4"/>
      <c r="N9" s="4"/>
    </row>
    <row r="10" spans="1:14">
      <c r="A10" s="4" t="s">
        <v>168</v>
      </c>
      <c r="B10" s="4"/>
      <c r="C10" s="4"/>
      <c r="D10" s="4"/>
      <c r="E10" s="4"/>
      <c r="F10" s="4"/>
      <c r="G10" s="4" t="s">
        <v>175</v>
      </c>
      <c r="H10" s="4"/>
      <c r="I10" s="4"/>
      <c r="J10" s="4"/>
      <c r="K10" s="4"/>
      <c r="L10" s="4"/>
      <c r="M10" s="4"/>
      <c r="N10" s="4"/>
    </row>
    <row r="11" spans="1:14">
      <c r="A11" s="4" t="s">
        <v>168</v>
      </c>
      <c r="B11" s="4"/>
      <c r="C11" s="4"/>
      <c r="D11" s="4"/>
      <c r="E11" s="4"/>
      <c r="F11" s="4"/>
      <c r="G11" s="4" t="s">
        <v>176</v>
      </c>
      <c r="H11" s="4"/>
      <c r="I11" s="4"/>
      <c r="J11" s="4"/>
      <c r="K11" s="4"/>
      <c r="L11" s="4"/>
      <c r="M11" s="4"/>
      <c r="N11" s="4"/>
    </row>
    <row r="12" spans="1:14">
      <c r="A12" s="4" t="s">
        <v>168</v>
      </c>
      <c r="B12" s="4"/>
      <c r="C12" s="4"/>
      <c r="D12" s="4"/>
      <c r="E12" s="4"/>
      <c r="F12" s="4"/>
      <c r="G12" s="4" t="s">
        <v>177</v>
      </c>
      <c r="H12" s="4"/>
      <c r="I12" s="4"/>
      <c r="J12" s="4"/>
      <c r="K12" s="4"/>
      <c r="L12" s="4"/>
      <c r="M12" s="4"/>
      <c r="N12" s="4"/>
    </row>
    <row r="13" spans="1:14">
      <c r="A13" s="4" t="s">
        <v>168</v>
      </c>
      <c r="B13" s="4"/>
      <c r="C13" s="4"/>
      <c r="D13" s="4"/>
      <c r="E13" s="4"/>
      <c r="F13" s="4"/>
      <c r="G13" s="4" t="s">
        <v>178</v>
      </c>
      <c r="H13" s="4"/>
      <c r="I13" s="4"/>
      <c r="J13" s="4"/>
      <c r="K13" s="4"/>
      <c r="L13" s="4"/>
      <c r="M13" s="4"/>
      <c r="N13" s="4"/>
    </row>
    <row r="14" spans="1:14">
      <c r="A14" s="4" t="s">
        <v>168</v>
      </c>
      <c r="B14" s="4"/>
      <c r="C14" s="4"/>
      <c r="D14" s="4"/>
      <c r="E14" s="4"/>
      <c r="F14" s="4"/>
      <c r="G14" s="4" t="s">
        <v>179</v>
      </c>
      <c r="H14" s="4"/>
      <c r="I14" s="4"/>
      <c r="J14" s="4"/>
      <c r="K14" s="4"/>
      <c r="L14" s="4"/>
      <c r="M14" s="4"/>
      <c r="N14" s="4"/>
    </row>
    <row r="15" spans="1:14">
      <c r="A15" s="4" t="s">
        <v>168</v>
      </c>
      <c r="B15" s="4"/>
      <c r="C15" s="4"/>
      <c r="D15" s="4"/>
      <c r="E15" s="4"/>
      <c r="F15" s="4"/>
      <c r="G15" s="4" t="s">
        <v>180</v>
      </c>
      <c r="H15" s="4"/>
      <c r="I15" s="4"/>
      <c r="J15" s="4"/>
      <c r="K15" s="4"/>
      <c r="L15" s="4"/>
      <c r="M15" s="4"/>
      <c r="N15" s="4"/>
    </row>
    <row r="16" spans="1:14">
      <c r="A16" s="4" t="s">
        <v>168</v>
      </c>
      <c r="B16" s="4"/>
      <c r="C16" s="4"/>
      <c r="D16" s="4"/>
      <c r="E16" s="4"/>
      <c r="F16" s="4"/>
      <c r="G16" s="4" t="s">
        <v>181</v>
      </c>
      <c r="H16" s="4"/>
      <c r="I16" s="4"/>
      <c r="J16" s="4"/>
      <c r="K16" s="4"/>
      <c r="L16" s="4"/>
      <c r="M16" s="4"/>
      <c r="N16" s="4"/>
    </row>
    <row r="17" spans="1:14">
      <c r="A17" s="4" t="s">
        <v>168</v>
      </c>
      <c r="B17" s="4"/>
      <c r="C17" s="4"/>
      <c r="D17" s="4"/>
      <c r="E17" s="4"/>
      <c r="F17" s="4"/>
      <c r="G17" s="4" t="s">
        <v>182</v>
      </c>
      <c r="H17" s="4"/>
      <c r="I17" s="4"/>
      <c r="J17" s="4"/>
      <c r="K17" s="4"/>
      <c r="L17" s="4"/>
      <c r="M17" s="4"/>
      <c r="N17" s="4"/>
    </row>
    <row r="18" spans="1:14">
      <c r="A18" s="4" t="s">
        <v>168</v>
      </c>
      <c r="B18" s="4"/>
      <c r="C18" s="4"/>
      <c r="D18" s="4"/>
      <c r="E18" s="4"/>
      <c r="F18" s="4"/>
      <c r="G18" s="4" t="s">
        <v>183</v>
      </c>
      <c r="H18" s="4"/>
      <c r="I18" s="4"/>
      <c r="J18" s="4"/>
      <c r="K18" s="4"/>
      <c r="L18" s="4"/>
      <c r="M18" s="4"/>
      <c r="N18" s="4"/>
    </row>
    <row r="19" spans="1:14">
      <c r="A19" s="4" t="s">
        <v>168</v>
      </c>
      <c r="B19" s="4"/>
      <c r="C19" s="4"/>
      <c r="D19" s="4"/>
      <c r="E19" s="4"/>
      <c r="F19" s="4"/>
      <c r="G19" s="4" t="s">
        <v>184</v>
      </c>
      <c r="H19" s="4"/>
      <c r="I19" s="4"/>
      <c r="J19" s="4"/>
      <c r="K19" s="4"/>
      <c r="L19" s="4"/>
      <c r="M19" s="4"/>
      <c r="N19" s="4"/>
    </row>
    <row r="20" spans="1:14">
      <c r="A20" s="4" t="s">
        <v>168</v>
      </c>
      <c r="B20" s="4"/>
      <c r="C20" s="4"/>
      <c r="D20" s="4"/>
      <c r="E20" s="4"/>
      <c r="F20" s="4"/>
      <c r="G20" s="4" t="s">
        <v>185</v>
      </c>
      <c r="H20" s="4"/>
      <c r="I20" s="4"/>
      <c r="J20" s="4"/>
      <c r="K20" s="4"/>
      <c r="L20" s="4"/>
      <c r="M20" s="4"/>
      <c r="N20" s="4"/>
    </row>
    <row r="21" spans="1:14">
      <c r="A21" s="4" t="s">
        <v>168</v>
      </c>
      <c r="B21" s="4"/>
      <c r="C21" s="4"/>
      <c r="D21" s="4"/>
      <c r="E21" s="4"/>
      <c r="F21" s="4"/>
      <c r="G21" s="4" t="s">
        <v>186</v>
      </c>
      <c r="H21" s="4"/>
      <c r="I21" s="4"/>
      <c r="J21" s="4"/>
      <c r="K21" s="4"/>
      <c r="L21" s="4"/>
      <c r="M21" s="4"/>
      <c r="N21" s="4"/>
    </row>
    <row r="22" spans="1:14">
      <c r="A22" s="4" t="s">
        <v>168</v>
      </c>
      <c r="B22" s="4"/>
      <c r="C22" s="4"/>
      <c r="D22" s="4"/>
      <c r="E22" s="4"/>
      <c r="F22" s="4"/>
      <c r="G22" s="4" t="s">
        <v>187</v>
      </c>
      <c r="H22" s="4"/>
      <c r="I22" s="4"/>
      <c r="J22" s="4"/>
      <c r="K22" s="4"/>
      <c r="L22" s="4"/>
      <c r="M22" s="4"/>
      <c r="N22" s="4"/>
    </row>
    <row r="23" spans="1:14">
      <c r="A23" s="4" t="s">
        <v>168</v>
      </c>
      <c r="B23" s="4"/>
      <c r="C23" s="4"/>
      <c r="D23" s="4"/>
      <c r="E23" s="4"/>
      <c r="F23" s="4"/>
      <c r="G23" s="4" t="s">
        <v>188</v>
      </c>
      <c r="H23" s="4"/>
      <c r="I23" s="4"/>
      <c r="J23" s="4"/>
      <c r="K23" s="4"/>
      <c r="L23" s="4"/>
      <c r="M23" s="4"/>
      <c r="N23" s="4"/>
    </row>
    <row r="24" spans="1:14">
      <c r="A24" s="4" t="s">
        <v>168</v>
      </c>
      <c r="B24" s="4"/>
      <c r="C24" s="4"/>
      <c r="D24" s="4"/>
      <c r="E24" s="4"/>
      <c r="F24" s="4"/>
      <c r="G24" s="4" t="s">
        <v>189</v>
      </c>
      <c r="H24" s="4"/>
      <c r="I24" s="4"/>
      <c r="J24" s="4"/>
      <c r="K24" s="4"/>
      <c r="L24" s="4"/>
      <c r="M24" s="4"/>
      <c r="N24" s="4"/>
    </row>
    <row r="25" spans="1:14">
      <c r="A25" s="4" t="s">
        <v>168</v>
      </c>
      <c r="B25" s="4"/>
      <c r="C25" s="4"/>
      <c r="D25" s="4"/>
      <c r="E25" s="4"/>
      <c r="F25" s="4"/>
      <c r="G25" s="4" t="s">
        <v>190</v>
      </c>
      <c r="H25" s="4"/>
      <c r="I25" s="4"/>
      <c r="J25" s="4"/>
      <c r="K25" s="4"/>
      <c r="L25" s="4"/>
      <c r="M25" s="4"/>
      <c r="N25" s="4"/>
    </row>
    <row r="26" spans="1:14">
      <c r="A26" s="4" t="s">
        <v>168</v>
      </c>
      <c r="B26" s="4"/>
      <c r="C26" s="4"/>
      <c r="D26" s="4"/>
      <c r="E26" s="4"/>
      <c r="F26" s="4"/>
      <c r="G26" s="4" t="s">
        <v>191</v>
      </c>
      <c r="H26" s="4"/>
      <c r="I26" s="4"/>
      <c r="J26" s="4"/>
      <c r="K26" s="4"/>
      <c r="L26" s="4"/>
      <c r="M26" s="4"/>
      <c r="N26" s="4"/>
    </row>
    <row r="27" spans="1:14">
      <c r="A27" s="4" t="s">
        <v>168</v>
      </c>
      <c r="B27" s="4"/>
      <c r="C27" s="4"/>
      <c r="D27" s="4"/>
      <c r="E27" s="4"/>
      <c r="F27" s="4"/>
      <c r="G27" s="4" t="s">
        <v>192</v>
      </c>
      <c r="H27" s="4"/>
      <c r="I27" s="4"/>
      <c r="J27" s="4"/>
      <c r="K27" s="4"/>
      <c r="L27" s="4"/>
      <c r="M27" s="4"/>
      <c r="N27" s="4"/>
    </row>
    <row r="28" spans="1:14">
      <c r="A28" s="4" t="s">
        <v>168</v>
      </c>
      <c r="B28" s="4"/>
      <c r="C28" s="4"/>
      <c r="D28" s="4"/>
      <c r="E28" s="4"/>
      <c r="F28" s="4"/>
      <c r="G28" s="4" t="s">
        <v>193</v>
      </c>
      <c r="H28" s="4"/>
      <c r="I28" s="4"/>
      <c r="J28" s="4"/>
      <c r="K28" s="4"/>
      <c r="L28" s="4"/>
      <c r="M28" s="4"/>
      <c r="N28" s="4"/>
    </row>
    <row r="29" spans="1:14">
      <c r="A29" s="4" t="s">
        <v>168</v>
      </c>
      <c r="B29" s="4"/>
      <c r="C29" s="4"/>
      <c r="D29" s="4"/>
      <c r="E29" s="4"/>
      <c r="F29" s="4"/>
      <c r="G29" s="4" t="s">
        <v>194</v>
      </c>
      <c r="H29" s="4"/>
      <c r="I29" s="4"/>
      <c r="J29" s="4"/>
      <c r="K29" s="4"/>
      <c r="L29" s="4"/>
      <c r="M29" s="4"/>
      <c r="N29" s="4"/>
    </row>
    <row r="30" spans="1:14">
      <c r="A30" s="4" t="s">
        <v>168</v>
      </c>
      <c r="B30" s="4"/>
      <c r="C30" s="4"/>
      <c r="D30" s="4"/>
      <c r="E30" s="4"/>
      <c r="F30" s="4"/>
      <c r="G30" s="4" t="s">
        <v>195</v>
      </c>
      <c r="H30" s="4"/>
      <c r="I30" s="4"/>
      <c r="J30" s="4"/>
      <c r="K30" s="4"/>
      <c r="L30" s="4"/>
      <c r="M30" s="4"/>
      <c r="N30" s="4"/>
    </row>
    <row r="31" spans="1:14">
      <c r="A31" s="4" t="s">
        <v>168</v>
      </c>
      <c r="B31" s="4"/>
      <c r="C31" s="4"/>
      <c r="D31" s="4"/>
      <c r="E31" s="4"/>
      <c r="F31" s="4"/>
      <c r="G31" s="4" t="s">
        <v>196</v>
      </c>
      <c r="H31" s="4"/>
      <c r="I31" s="4"/>
      <c r="J31" s="4"/>
      <c r="K31" s="4"/>
      <c r="L31" s="4"/>
      <c r="M31" s="4"/>
      <c r="N31" s="4"/>
    </row>
    <row r="32" spans="1:14">
      <c r="A32" s="4" t="s">
        <v>168</v>
      </c>
      <c r="B32" s="4"/>
      <c r="C32" s="4"/>
      <c r="D32" s="4"/>
      <c r="E32" s="4"/>
      <c r="F32" s="4"/>
      <c r="G32" s="4" t="s">
        <v>197</v>
      </c>
      <c r="H32" s="4"/>
      <c r="I32" s="4"/>
      <c r="J32" s="4"/>
      <c r="K32" s="4"/>
      <c r="L32" s="4"/>
      <c r="M32" s="4"/>
      <c r="N32" s="4"/>
    </row>
    <row r="33" spans="1:14">
      <c r="A33" s="4" t="s">
        <v>168</v>
      </c>
      <c r="B33" s="4"/>
      <c r="C33" s="4"/>
      <c r="D33" s="4"/>
      <c r="E33" s="4"/>
      <c r="F33" s="4"/>
      <c r="G33" s="4" t="s">
        <v>198</v>
      </c>
      <c r="H33" s="4"/>
      <c r="I33" s="4"/>
      <c r="J33" s="4"/>
      <c r="K33" s="4"/>
      <c r="L33" s="4"/>
      <c r="M33" s="4"/>
      <c r="N33" s="4"/>
    </row>
    <row r="34" spans="1:14">
      <c r="A34" s="4" t="s">
        <v>168</v>
      </c>
      <c r="B34" s="4"/>
      <c r="C34" s="4"/>
      <c r="D34" s="4"/>
      <c r="E34" s="4"/>
      <c r="F34" s="4"/>
      <c r="G34" s="4" t="s">
        <v>199</v>
      </c>
      <c r="H34" s="4"/>
      <c r="I34" s="4"/>
      <c r="J34" s="4"/>
      <c r="K34" s="4"/>
      <c r="L34" s="4"/>
      <c r="M34" s="4"/>
      <c r="N34" s="4"/>
    </row>
    <row r="35" spans="1:14">
      <c r="A35" s="4" t="s">
        <v>168</v>
      </c>
      <c r="B35" s="4"/>
      <c r="C35" s="4"/>
      <c r="D35" s="4"/>
      <c r="E35" s="4"/>
      <c r="F35" s="4"/>
      <c r="G35" s="4" t="s">
        <v>200</v>
      </c>
      <c r="H35" s="4"/>
      <c r="I35" s="4"/>
      <c r="J35" s="4"/>
      <c r="K35" s="4"/>
      <c r="L35" s="4"/>
      <c r="M35" s="4"/>
      <c r="N35" s="4"/>
    </row>
    <row r="36" spans="1:14">
      <c r="A36" s="4" t="s">
        <v>168</v>
      </c>
      <c r="B36" s="4"/>
      <c r="C36" s="4"/>
      <c r="D36" s="4"/>
      <c r="E36" s="4"/>
      <c r="F36" s="4"/>
      <c r="G36" s="4" t="s">
        <v>201</v>
      </c>
      <c r="H36" s="4"/>
      <c r="I36" s="4"/>
      <c r="J36" s="4"/>
      <c r="K36" s="4"/>
      <c r="L36" s="4"/>
      <c r="M36" s="4"/>
      <c r="N36" s="4"/>
    </row>
    <row r="37" spans="1:14">
      <c r="A37" s="4" t="s">
        <v>168</v>
      </c>
      <c r="B37" s="4"/>
      <c r="C37" s="4"/>
      <c r="D37" s="4"/>
      <c r="E37" s="4"/>
      <c r="F37" s="4"/>
      <c r="G37" s="4" t="s">
        <v>202</v>
      </c>
      <c r="H37" s="4"/>
      <c r="I37" s="4"/>
      <c r="J37" s="4"/>
      <c r="K37" s="4"/>
      <c r="L37" s="4"/>
      <c r="M37" s="4"/>
      <c r="N37" s="4"/>
    </row>
    <row r="38" spans="1:14">
      <c r="A38" s="4" t="s">
        <v>168</v>
      </c>
      <c r="B38" s="4"/>
      <c r="C38" s="4"/>
      <c r="D38" s="4"/>
      <c r="E38" s="4"/>
      <c r="F38" s="4"/>
      <c r="G38" s="4" t="s">
        <v>203</v>
      </c>
      <c r="H38" s="4"/>
      <c r="I38" s="4"/>
      <c r="J38" s="4"/>
      <c r="K38" s="4"/>
      <c r="L38" s="4"/>
      <c r="M38" s="4"/>
      <c r="N38" s="4"/>
    </row>
    <row r="39" spans="1:14">
      <c r="A39" s="4" t="s">
        <v>168</v>
      </c>
      <c r="B39" s="4"/>
      <c r="C39" s="4"/>
      <c r="D39" s="4"/>
      <c r="E39" s="4"/>
      <c r="F39" s="4"/>
      <c r="G39" s="4" t="s">
        <v>204</v>
      </c>
      <c r="H39" s="4"/>
      <c r="I39" s="4"/>
      <c r="J39" s="4"/>
      <c r="K39" s="4"/>
      <c r="L39" s="4"/>
      <c r="M39" s="4"/>
      <c r="N39" s="4"/>
    </row>
    <row r="40" spans="1:14">
      <c r="A40" s="4" t="s">
        <v>168</v>
      </c>
      <c r="B40" s="4"/>
      <c r="C40" s="4"/>
      <c r="D40" s="4"/>
      <c r="E40" s="4"/>
      <c r="F40" s="4"/>
      <c r="G40" s="4" t="s">
        <v>205</v>
      </c>
      <c r="H40" s="4"/>
      <c r="I40" s="4"/>
      <c r="J40" s="4"/>
      <c r="K40" s="4"/>
      <c r="L40" s="4"/>
      <c r="M40" s="4"/>
      <c r="N40" s="4"/>
    </row>
    <row r="41" spans="1:14">
      <c r="A41" s="4" t="s">
        <v>168</v>
      </c>
      <c r="B41" s="4"/>
      <c r="C41" s="4"/>
      <c r="D41" s="4"/>
      <c r="E41" s="4"/>
      <c r="F41" s="4"/>
      <c r="G41" s="4" t="s">
        <v>206</v>
      </c>
      <c r="H41" s="4"/>
      <c r="I41" s="4"/>
      <c r="J41" s="4"/>
      <c r="K41" s="4"/>
      <c r="L41" s="4"/>
      <c r="M41" s="4"/>
      <c r="N41" s="4"/>
    </row>
    <row r="42" spans="1:14">
      <c r="A42" s="4" t="s">
        <v>168</v>
      </c>
      <c r="B42" s="4"/>
      <c r="C42" s="4"/>
      <c r="D42" s="4"/>
      <c r="E42" s="4"/>
      <c r="F42" s="4"/>
      <c r="G42" s="4" t="s">
        <v>207</v>
      </c>
      <c r="H42" s="4"/>
      <c r="I42" s="4"/>
      <c r="J42" s="4"/>
      <c r="K42" s="4"/>
      <c r="L42" s="4"/>
      <c r="M42" s="4"/>
      <c r="N42" s="4"/>
    </row>
    <row r="43" spans="1:14">
      <c r="A43" s="4" t="s">
        <v>168</v>
      </c>
      <c r="B43" s="4"/>
      <c r="C43" s="4"/>
      <c r="D43" s="4"/>
      <c r="E43" s="4"/>
      <c r="F43" s="4"/>
      <c r="G43" s="4" t="s">
        <v>208</v>
      </c>
      <c r="H43" s="4"/>
      <c r="I43" s="4"/>
      <c r="J43" s="4"/>
      <c r="K43" s="4"/>
      <c r="L43" s="4"/>
      <c r="M43" s="4"/>
      <c r="N43" s="4"/>
    </row>
    <row r="44" spans="1:14">
      <c r="A44" s="4" t="s">
        <v>209</v>
      </c>
      <c r="B44" s="4"/>
      <c r="C44" s="4"/>
      <c r="D44" s="4"/>
      <c r="E44" s="4"/>
      <c r="F44" s="4"/>
      <c r="G44" s="4" t="s">
        <v>169</v>
      </c>
      <c r="H44" s="4"/>
      <c r="I44" s="4"/>
      <c r="J44" s="4"/>
      <c r="K44" s="4"/>
      <c r="L44" s="4"/>
      <c r="M44" s="4"/>
      <c r="N44" s="4"/>
    </row>
    <row r="45" spans="1:14">
      <c r="A45" s="4" t="s">
        <v>209</v>
      </c>
      <c r="B45" s="4"/>
      <c r="C45" s="4"/>
      <c r="D45" s="4"/>
      <c r="E45" s="4"/>
      <c r="F45" s="4"/>
      <c r="G45" s="4" t="s">
        <v>170</v>
      </c>
      <c r="H45" s="4"/>
      <c r="I45" s="4"/>
      <c r="J45" s="4"/>
      <c r="K45" s="4"/>
      <c r="L45" s="4"/>
      <c r="M45" s="4"/>
      <c r="N45" s="4"/>
    </row>
    <row r="46" spans="1:14">
      <c r="A46" s="4" t="s">
        <v>209</v>
      </c>
      <c r="B46" s="4"/>
      <c r="C46" s="4"/>
      <c r="D46" s="4"/>
      <c r="E46" s="4"/>
      <c r="F46" s="4"/>
      <c r="G46" s="4" t="s">
        <v>171</v>
      </c>
      <c r="H46" s="4"/>
      <c r="I46" s="4"/>
      <c r="J46" s="4"/>
      <c r="K46" s="4"/>
      <c r="L46" s="4"/>
      <c r="M46" s="4"/>
      <c r="N46" s="4"/>
    </row>
    <row r="47" spans="1:14">
      <c r="A47" s="4" t="s">
        <v>209</v>
      </c>
      <c r="B47" s="4"/>
      <c r="C47" s="4"/>
      <c r="D47" s="4"/>
      <c r="E47" s="4"/>
      <c r="F47" s="4"/>
      <c r="G47" s="4" t="s">
        <v>172</v>
      </c>
      <c r="H47" s="4"/>
      <c r="I47" s="4"/>
      <c r="J47" s="4"/>
      <c r="K47" s="4"/>
      <c r="L47" s="4"/>
      <c r="M47" s="4"/>
      <c r="N47" s="4"/>
    </row>
    <row r="48" spans="1:14">
      <c r="A48" s="4" t="s">
        <v>209</v>
      </c>
      <c r="B48" s="4"/>
      <c r="C48" s="4"/>
      <c r="D48" s="4"/>
      <c r="E48" s="4"/>
      <c r="F48" s="4"/>
      <c r="G48" s="4" t="s">
        <v>173</v>
      </c>
      <c r="H48" s="4"/>
      <c r="I48" s="4"/>
      <c r="J48" s="4"/>
      <c r="K48" s="4"/>
      <c r="L48" s="4"/>
      <c r="M48" s="4"/>
      <c r="N48" s="4"/>
    </row>
    <row r="49" spans="1:14">
      <c r="A49" s="4" t="s">
        <v>209</v>
      </c>
      <c r="B49" s="4"/>
      <c r="C49" s="4"/>
      <c r="D49" s="4"/>
      <c r="E49" s="4"/>
      <c r="F49" s="4"/>
      <c r="G49" s="4" t="s">
        <v>174</v>
      </c>
      <c r="H49" s="4"/>
      <c r="I49" s="4"/>
      <c r="J49" s="4"/>
      <c r="K49" s="4"/>
      <c r="L49" s="4"/>
      <c r="M49" s="4"/>
      <c r="N49" s="4"/>
    </row>
    <row r="50" spans="1:14">
      <c r="A50" s="4" t="s">
        <v>209</v>
      </c>
      <c r="B50" s="4"/>
      <c r="C50" s="4"/>
      <c r="D50" s="4"/>
      <c r="E50" s="4"/>
      <c r="F50" s="4"/>
      <c r="G50" s="4" t="s">
        <v>175</v>
      </c>
      <c r="H50" s="4"/>
      <c r="I50" s="4"/>
      <c r="J50" s="4"/>
      <c r="K50" s="4"/>
      <c r="L50" s="4"/>
      <c r="M50" s="4"/>
      <c r="N50" s="4"/>
    </row>
    <row r="51" spans="1:14">
      <c r="A51" s="4" t="s">
        <v>209</v>
      </c>
      <c r="B51" s="4"/>
      <c r="C51" s="4"/>
      <c r="D51" s="4"/>
      <c r="E51" s="4"/>
      <c r="F51" s="4"/>
      <c r="G51" s="4" t="s">
        <v>176</v>
      </c>
      <c r="H51" s="4"/>
      <c r="I51" s="4"/>
      <c r="J51" s="4"/>
      <c r="K51" s="4"/>
      <c r="L51" s="4"/>
      <c r="M51" s="4"/>
      <c r="N51" s="4"/>
    </row>
    <row r="52" spans="1:14">
      <c r="A52" s="4" t="s">
        <v>209</v>
      </c>
      <c r="B52" s="4"/>
      <c r="C52" s="4"/>
      <c r="D52" s="4"/>
      <c r="E52" s="4"/>
      <c r="F52" s="4"/>
      <c r="G52" s="4" t="s">
        <v>177</v>
      </c>
      <c r="H52" s="4"/>
      <c r="I52" s="4"/>
      <c r="J52" s="4"/>
      <c r="K52" s="4"/>
      <c r="L52" s="4"/>
      <c r="M52" s="4"/>
      <c r="N52" s="4"/>
    </row>
    <row r="53" spans="1:14">
      <c r="A53" s="4" t="s">
        <v>209</v>
      </c>
      <c r="B53" s="4"/>
      <c r="C53" s="4"/>
      <c r="D53" s="4"/>
      <c r="E53" s="4"/>
      <c r="F53" s="4"/>
      <c r="G53" s="4" t="s">
        <v>178</v>
      </c>
      <c r="H53" s="4"/>
      <c r="I53" s="4"/>
      <c r="J53" s="4"/>
      <c r="K53" s="4"/>
      <c r="L53" s="4"/>
      <c r="M53" s="4"/>
      <c r="N53" s="4"/>
    </row>
    <row r="54" spans="1:14">
      <c r="A54" s="4" t="s">
        <v>209</v>
      </c>
      <c r="B54" s="4"/>
      <c r="C54" s="4"/>
      <c r="D54" s="4"/>
      <c r="E54" s="4"/>
      <c r="F54" s="4"/>
      <c r="G54" s="4" t="s">
        <v>179</v>
      </c>
      <c r="H54" s="4"/>
      <c r="I54" s="4"/>
      <c r="J54" s="4"/>
      <c r="K54" s="4"/>
      <c r="L54" s="4"/>
      <c r="M54" s="4"/>
      <c r="N54" s="4"/>
    </row>
    <row r="55" spans="1:14">
      <c r="A55" s="4" t="s">
        <v>209</v>
      </c>
      <c r="B55" s="4"/>
      <c r="C55" s="4"/>
      <c r="D55" s="4"/>
      <c r="E55" s="4"/>
      <c r="F55" s="4"/>
      <c r="G55" s="4" t="s">
        <v>180</v>
      </c>
      <c r="H55" s="4"/>
      <c r="I55" s="4"/>
      <c r="J55" s="4"/>
      <c r="K55" s="4"/>
      <c r="L55" s="4"/>
      <c r="M55" s="4"/>
      <c r="N55" s="4"/>
    </row>
    <row r="56" spans="1:14">
      <c r="A56" s="4" t="s">
        <v>209</v>
      </c>
      <c r="B56" s="4"/>
      <c r="C56" s="4"/>
      <c r="D56" s="4"/>
      <c r="E56" s="4"/>
      <c r="F56" s="4"/>
      <c r="G56" s="4" t="s">
        <v>181</v>
      </c>
      <c r="H56" s="4"/>
      <c r="I56" s="4"/>
      <c r="J56" s="4"/>
      <c r="K56" s="4"/>
      <c r="L56" s="4"/>
      <c r="M56" s="4"/>
      <c r="N56" s="4"/>
    </row>
    <row r="57" spans="1:14">
      <c r="A57" s="4" t="s">
        <v>209</v>
      </c>
      <c r="B57" s="4"/>
      <c r="C57" s="4"/>
      <c r="D57" s="4"/>
      <c r="E57" s="4"/>
      <c r="F57" s="4"/>
      <c r="G57" s="4" t="s">
        <v>182</v>
      </c>
      <c r="H57" s="4"/>
      <c r="I57" s="4"/>
      <c r="J57" s="4"/>
      <c r="K57" s="4"/>
      <c r="L57" s="4"/>
      <c r="M57" s="4"/>
      <c r="N57" s="4"/>
    </row>
    <row r="58" spans="1:14">
      <c r="A58" s="4" t="s">
        <v>209</v>
      </c>
      <c r="B58" s="4"/>
      <c r="C58" s="4"/>
      <c r="D58" s="4"/>
      <c r="E58" s="4"/>
      <c r="F58" s="4"/>
      <c r="G58" s="4" t="s">
        <v>183</v>
      </c>
      <c r="H58" s="4"/>
      <c r="I58" s="4"/>
      <c r="J58" s="4"/>
      <c r="K58" s="4"/>
      <c r="L58" s="4"/>
      <c r="M58" s="4"/>
      <c r="N58" s="4"/>
    </row>
    <row r="59" spans="1:14">
      <c r="A59" s="4" t="s">
        <v>209</v>
      </c>
      <c r="B59" s="4"/>
      <c r="C59" s="4"/>
      <c r="D59" s="4"/>
      <c r="E59" s="4"/>
      <c r="F59" s="4"/>
      <c r="G59" s="4" t="s">
        <v>184</v>
      </c>
      <c r="H59" s="4"/>
      <c r="I59" s="4"/>
      <c r="J59" s="4"/>
      <c r="K59" s="4"/>
      <c r="L59" s="4"/>
      <c r="M59" s="4"/>
      <c r="N59" s="4"/>
    </row>
    <row r="60" spans="1:14">
      <c r="A60" s="4" t="s">
        <v>209</v>
      </c>
      <c r="B60" s="4"/>
      <c r="C60" s="4"/>
      <c r="D60" s="4"/>
      <c r="E60" s="4"/>
      <c r="F60" s="4"/>
      <c r="G60" s="4" t="s">
        <v>185</v>
      </c>
      <c r="H60" s="4"/>
      <c r="I60" s="4"/>
      <c r="J60" s="4"/>
      <c r="K60" s="4"/>
      <c r="L60" s="4"/>
      <c r="M60" s="4"/>
      <c r="N60" s="4"/>
    </row>
    <row r="61" spans="1:14">
      <c r="A61" s="4" t="s">
        <v>209</v>
      </c>
      <c r="B61" s="4"/>
      <c r="C61" s="4"/>
      <c r="D61" s="4"/>
      <c r="E61" s="4"/>
      <c r="F61" s="4"/>
      <c r="G61" s="4" t="s">
        <v>186</v>
      </c>
      <c r="H61" s="4"/>
      <c r="I61" s="4"/>
      <c r="J61" s="4"/>
      <c r="K61" s="4"/>
      <c r="L61" s="4"/>
      <c r="M61" s="4"/>
      <c r="N61" s="4"/>
    </row>
    <row r="62" spans="1:14">
      <c r="A62" s="4" t="s">
        <v>209</v>
      </c>
      <c r="B62" s="4"/>
      <c r="C62" s="4"/>
      <c r="D62" s="4"/>
      <c r="E62" s="4"/>
      <c r="F62" s="4"/>
      <c r="G62" s="4" t="s">
        <v>187</v>
      </c>
      <c r="H62" s="4"/>
      <c r="I62" s="4"/>
      <c r="J62" s="4"/>
      <c r="K62" s="4"/>
      <c r="L62" s="4"/>
      <c r="M62" s="4"/>
      <c r="N62" s="4"/>
    </row>
    <row r="63" spans="1:14">
      <c r="A63" s="4" t="s">
        <v>209</v>
      </c>
      <c r="B63" s="4"/>
      <c r="C63" s="4"/>
      <c r="D63" s="4"/>
      <c r="E63" s="4"/>
      <c r="F63" s="4"/>
      <c r="G63" s="4" t="s">
        <v>188</v>
      </c>
      <c r="H63" s="4"/>
      <c r="I63" s="4"/>
      <c r="J63" s="4"/>
      <c r="K63" s="4"/>
      <c r="L63" s="4"/>
      <c r="M63" s="4"/>
      <c r="N63" s="4"/>
    </row>
    <row r="64" spans="1:14">
      <c r="A64" s="4" t="s">
        <v>209</v>
      </c>
      <c r="B64" s="4"/>
      <c r="C64" s="4"/>
      <c r="D64" s="4"/>
      <c r="E64" s="4"/>
      <c r="F64" s="4"/>
      <c r="G64" s="4" t="s">
        <v>189</v>
      </c>
      <c r="H64" s="4"/>
      <c r="I64" s="4"/>
      <c r="J64" s="4"/>
      <c r="K64" s="4"/>
      <c r="L64" s="4"/>
      <c r="M64" s="4"/>
      <c r="N64" s="4"/>
    </row>
    <row r="65" spans="1:14">
      <c r="A65" s="4" t="s">
        <v>209</v>
      </c>
      <c r="B65" s="4"/>
      <c r="C65" s="4"/>
      <c r="D65" s="4"/>
      <c r="E65" s="4"/>
      <c r="F65" s="4"/>
      <c r="G65" s="4" t="s">
        <v>190</v>
      </c>
      <c r="H65" s="4"/>
      <c r="I65" s="4"/>
      <c r="J65" s="4"/>
      <c r="K65" s="4"/>
      <c r="L65" s="4"/>
      <c r="M65" s="4"/>
      <c r="N65" s="4"/>
    </row>
    <row r="66" spans="1:14">
      <c r="A66" s="4" t="s">
        <v>209</v>
      </c>
      <c r="B66" s="4"/>
      <c r="C66" s="4"/>
      <c r="D66" s="4"/>
      <c r="E66" s="4"/>
      <c r="F66" s="4"/>
      <c r="G66" s="4" t="s">
        <v>191</v>
      </c>
      <c r="H66" s="4"/>
      <c r="I66" s="4"/>
      <c r="J66" s="4"/>
      <c r="K66" s="4"/>
      <c r="L66" s="4"/>
      <c r="M66" s="4"/>
      <c r="N66" s="4"/>
    </row>
    <row r="67" spans="1:14">
      <c r="A67" s="4" t="s">
        <v>209</v>
      </c>
      <c r="B67" s="4"/>
      <c r="C67" s="4"/>
      <c r="D67" s="4"/>
      <c r="E67" s="4"/>
      <c r="F67" s="4"/>
      <c r="G67" s="4" t="s">
        <v>192</v>
      </c>
      <c r="H67" s="4"/>
      <c r="I67" s="4"/>
      <c r="J67" s="4"/>
      <c r="K67" s="4"/>
      <c r="L67" s="4"/>
      <c r="M67" s="4"/>
      <c r="N67" s="4"/>
    </row>
    <row r="68" spans="1:14">
      <c r="A68" s="4" t="s">
        <v>209</v>
      </c>
      <c r="B68" s="4"/>
      <c r="C68" s="4"/>
      <c r="D68" s="4"/>
      <c r="E68" s="4"/>
      <c r="F68" s="4"/>
      <c r="G68" s="4" t="s">
        <v>193</v>
      </c>
      <c r="H68" s="4"/>
      <c r="I68" s="4"/>
      <c r="J68" s="4"/>
      <c r="K68" s="4"/>
      <c r="L68" s="4"/>
      <c r="M68" s="4"/>
      <c r="N68" s="4"/>
    </row>
    <row r="69" spans="1:14">
      <c r="A69" s="4" t="s">
        <v>209</v>
      </c>
      <c r="B69" s="4"/>
      <c r="C69" s="4"/>
      <c r="D69" s="4"/>
      <c r="E69" s="4"/>
      <c r="F69" s="4"/>
      <c r="G69" s="4" t="s">
        <v>194</v>
      </c>
      <c r="H69" s="4"/>
      <c r="I69" s="4"/>
      <c r="J69" s="4"/>
      <c r="K69" s="4"/>
      <c r="L69" s="4"/>
      <c r="M69" s="4"/>
      <c r="N69" s="4"/>
    </row>
    <row r="70" spans="1:14">
      <c r="A70" s="4" t="s">
        <v>209</v>
      </c>
      <c r="B70" s="4"/>
      <c r="C70" s="4"/>
      <c r="D70" s="4"/>
      <c r="E70" s="4"/>
      <c r="F70" s="4"/>
      <c r="G70" s="4" t="s">
        <v>195</v>
      </c>
      <c r="H70" s="4"/>
      <c r="I70" s="4"/>
      <c r="J70" s="4"/>
      <c r="K70" s="4"/>
      <c r="L70" s="4"/>
      <c r="M70" s="4"/>
      <c r="N70" s="4"/>
    </row>
    <row r="71" spans="1:14">
      <c r="A71" s="4" t="s">
        <v>209</v>
      </c>
      <c r="B71" s="4"/>
      <c r="C71" s="4"/>
      <c r="D71" s="4"/>
      <c r="E71" s="4"/>
      <c r="F71" s="4"/>
      <c r="G71" s="4" t="s">
        <v>196</v>
      </c>
      <c r="H71" s="4"/>
      <c r="I71" s="4"/>
      <c r="J71" s="4"/>
      <c r="K71" s="4"/>
      <c r="L71" s="4"/>
      <c r="M71" s="4"/>
      <c r="N71" s="4"/>
    </row>
    <row r="72" spans="1:14">
      <c r="A72" s="4" t="s">
        <v>209</v>
      </c>
      <c r="B72" s="4"/>
      <c r="C72" s="4"/>
      <c r="D72" s="4"/>
      <c r="E72" s="4"/>
      <c r="F72" s="4"/>
      <c r="G72" s="4" t="s">
        <v>197</v>
      </c>
      <c r="H72" s="4"/>
      <c r="I72" s="4"/>
      <c r="J72" s="4"/>
      <c r="K72" s="4"/>
      <c r="L72" s="4"/>
      <c r="M72" s="4"/>
      <c r="N72" s="4"/>
    </row>
    <row r="73" spans="1:14">
      <c r="A73" s="4" t="s">
        <v>209</v>
      </c>
      <c r="B73" s="4"/>
      <c r="C73" s="4"/>
      <c r="D73" s="4"/>
      <c r="E73" s="4"/>
      <c r="F73" s="4"/>
      <c r="G73" s="4" t="s">
        <v>198</v>
      </c>
      <c r="H73" s="4"/>
      <c r="I73" s="4"/>
      <c r="J73" s="4"/>
      <c r="K73" s="4"/>
      <c r="L73" s="4"/>
      <c r="M73" s="4"/>
      <c r="N73" s="4"/>
    </row>
    <row r="74" spans="1:14">
      <c r="A74" s="4" t="s">
        <v>209</v>
      </c>
      <c r="B74" s="4"/>
      <c r="C74" s="4"/>
      <c r="D74" s="4"/>
      <c r="E74" s="4"/>
      <c r="F74" s="4"/>
      <c r="G74" s="4" t="s">
        <v>199</v>
      </c>
      <c r="H74" s="4"/>
      <c r="I74" s="4"/>
      <c r="J74" s="4"/>
      <c r="K74" s="4"/>
      <c r="L74" s="4"/>
      <c r="M74" s="4"/>
      <c r="N74" s="4"/>
    </row>
    <row r="75" spans="1:14">
      <c r="A75" s="4" t="s">
        <v>209</v>
      </c>
      <c r="B75" s="4"/>
      <c r="C75" s="4"/>
      <c r="D75" s="4"/>
      <c r="E75" s="4"/>
      <c r="F75" s="4"/>
      <c r="G75" s="4" t="s">
        <v>200</v>
      </c>
      <c r="H75" s="4"/>
      <c r="I75" s="4"/>
      <c r="J75" s="4"/>
      <c r="K75" s="4"/>
      <c r="L75" s="4"/>
      <c r="M75" s="4"/>
      <c r="N75" s="4"/>
    </row>
    <row r="76" spans="1:14">
      <c r="A76" s="4" t="s">
        <v>209</v>
      </c>
      <c r="B76" s="4"/>
      <c r="C76" s="4"/>
      <c r="D76" s="4"/>
      <c r="E76" s="4"/>
      <c r="F76" s="4"/>
      <c r="G76" s="4" t="s">
        <v>201</v>
      </c>
      <c r="H76" s="4"/>
      <c r="I76" s="4"/>
      <c r="J76" s="4"/>
      <c r="K76" s="4"/>
      <c r="L76" s="4"/>
      <c r="M76" s="4"/>
      <c r="N76" s="4"/>
    </row>
    <row r="77" spans="1:14">
      <c r="A77" s="4" t="s">
        <v>209</v>
      </c>
      <c r="B77" s="4"/>
      <c r="C77" s="4"/>
      <c r="D77" s="4"/>
      <c r="E77" s="4"/>
      <c r="F77" s="4"/>
      <c r="G77" s="4" t="s">
        <v>202</v>
      </c>
      <c r="H77" s="4"/>
      <c r="I77" s="4"/>
      <c r="J77" s="4"/>
      <c r="K77" s="4"/>
      <c r="L77" s="4"/>
      <c r="M77" s="4"/>
      <c r="N77" s="4"/>
    </row>
    <row r="78" spans="1:14">
      <c r="A78" s="4" t="s">
        <v>209</v>
      </c>
      <c r="B78" s="4"/>
      <c r="C78" s="4"/>
      <c r="D78" s="4"/>
      <c r="E78" s="4"/>
      <c r="F78" s="4"/>
      <c r="G78" s="4" t="s">
        <v>203</v>
      </c>
      <c r="H78" s="4"/>
      <c r="I78" s="4"/>
      <c r="J78" s="4"/>
      <c r="K78" s="4"/>
      <c r="L78" s="4"/>
      <c r="M78" s="4"/>
      <c r="N78" s="4"/>
    </row>
    <row r="79" spans="1:14">
      <c r="A79" s="4" t="s">
        <v>209</v>
      </c>
      <c r="B79" s="4"/>
      <c r="C79" s="4"/>
      <c r="D79" s="4"/>
      <c r="E79" s="4"/>
      <c r="F79" s="4"/>
      <c r="G79" s="4" t="s">
        <v>204</v>
      </c>
      <c r="H79" s="4"/>
      <c r="I79" s="4"/>
      <c r="J79" s="4"/>
      <c r="K79" s="4"/>
      <c r="L79" s="4"/>
      <c r="M79" s="4"/>
      <c r="N79" s="4"/>
    </row>
    <row r="80" spans="1:14">
      <c r="A80" s="4" t="s">
        <v>209</v>
      </c>
      <c r="B80" s="4"/>
      <c r="C80" s="4"/>
      <c r="D80" s="4"/>
      <c r="E80" s="4"/>
      <c r="F80" s="4"/>
      <c r="G80" s="4" t="s">
        <v>205</v>
      </c>
      <c r="H80" s="4"/>
      <c r="I80" s="4"/>
      <c r="J80" s="4"/>
      <c r="K80" s="4"/>
      <c r="L80" s="4"/>
      <c r="M80" s="4"/>
      <c r="N80" s="4"/>
    </row>
    <row r="81" spans="1:14">
      <c r="A81" s="4" t="s">
        <v>209</v>
      </c>
      <c r="B81" s="4"/>
      <c r="C81" s="4"/>
      <c r="D81" s="4"/>
      <c r="E81" s="4"/>
      <c r="F81" s="4"/>
      <c r="G81" s="4" t="s">
        <v>206</v>
      </c>
      <c r="H81" s="4"/>
      <c r="I81" s="4"/>
      <c r="J81" s="4"/>
      <c r="K81" s="4"/>
      <c r="L81" s="4"/>
      <c r="M81" s="4"/>
      <c r="N81" s="4"/>
    </row>
    <row r="82" spans="1:14">
      <c r="A82" s="4" t="s">
        <v>209</v>
      </c>
      <c r="B82" s="4"/>
      <c r="C82" s="4"/>
      <c r="D82" s="4"/>
      <c r="E82" s="4"/>
      <c r="F82" s="4"/>
      <c r="G82" s="4" t="s">
        <v>207</v>
      </c>
      <c r="H82" s="4"/>
      <c r="I82" s="4"/>
      <c r="J82" s="4"/>
      <c r="K82" s="4"/>
      <c r="L82" s="4"/>
      <c r="M82" s="4"/>
      <c r="N82" s="4"/>
    </row>
    <row r="83" spans="1:14">
      <c r="A83" s="4" t="s">
        <v>209</v>
      </c>
      <c r="B83" s="4"/>
      <c r="C83" s="4"/>
      <c r="D83" s="4"/>
      <c r="E83" s="4"/>
      <c r="F83" s="4"/>
      <c r="G83" s="4" t="s">
        <v>208</v>
      </c>
      <c r="H83" s="4"/>
      <c r="I83" s="4"/>
      <c r="J83" s="4"/>
      <c r="K83" s="4"/>
      <c r="L83" s="4"/>
      <c r="M83" s="4"/>
      <c r="N83" s="4"/>
    </row>
    <row r="84" spans="1:14">
      <c r="A84" s="4" t="s">
        <v>210</v>
      </c>
      <c r="B84" s="4"/>
      <c r="C84" s="4"/>
      <c r="D84" s="4"/>
      <c r="E84" s="4"/>
      <c r="F84" s="4"/>
      <c r="G84" s="4" t="s">
        <v>169</v>
      </c>
      <c r="H84" s="4"/>
      <c r="I84" s="4"/>
      <c r="J84" s="4"/>
      <c r="K84" s="4"/>
      <c r="L84" s="4"/>
      <c r="M84" s="4"/>
      <c r="N84" s="4"/>
    </row>
    <row r="85" spans="1:14">
      <c r="A85" s="4" t="s">
        <v>210</v>
      </c>
      <c r="B85" s="4"/>
      <c r="C85" s="4"/>
      <c r="D85" s="4"/>
      <c r="E85" s="4"/>
      <c r="F85" s="4"/>
      <c r="G85" s="4" t="s">
        <v>170</v>
      </c>
      <c r="H85" s="4"/>
      <c r="I85" s="4"/>
      <c r="J85" s="4"/>
      <c r="K85" s="4"/>
      <c r="L85" s="4"/>
      <c r="M85" s="4"/>
      <c r="N85" s="4"/>
    </row>
    <row r="86" spans="1:14">
      <c r="A86" s="4" t="s">
        <v>210</v>
      </c>
      <c r="B86" s="4"/>
      <c r="C86" s="4"/>
      <c r="D86" s="4"/>
      <c r="E86" s="4"/>
      <c r="F86" s="4"/>
      <c r="G86" s="4" t="s">
        <v>171</v>
      </c>
      <c r="H86" s="4"/>
      <c r="I86" s="4"/>
      <c r="J86" s="4"/>
      <c r="K86" s="4"/>
      <c r="L86" s="4"/>
      <c r="M86" s="4"/>
      <c r="N86" s="4"/>
    </row>
    <row r="87" spans="1:14">
      <c r="A87" s="4" t="s">
        <v>210</v>
      </c>
      <c r="B87" s="4"/>
      <c r="C87" s="4"/>
      <c r="D87" s="4"/>
      <c r="E87" s="4"/>
      <c r="F87" s="4"/>
      <c r="G87" s="4" t="s">
        <v>172</v>
      </c>
      <c r="H87" s="4"/>
      <c r="I87" s="4"/>
      <c r="J87" s="4"/>
      <c r="K87" s="4"/>
      <c r="L87" s="4"/>
      <c r="M87" s="4"/>
      <c r="N87" s="4"/>
    </row>
    <row r="88" spans="1:14">
      <c r="A88" s="4" t="s">
        <v>210</v>
      </c>
      <c r="B88" s="4"/>
      <c r="C88" s="4"/>
      <c r="D88" s="4"/>
      <c r="E88" s="4"/>
      <c r="F88" s="4"/>
      <c r="G88" s="4" t="s">
        <v>173</v>
      </c>
      <c r="H88" s="4"/>
      <c r="I88" s="4"/>
      <c r="J88" s="4"/>
      <c r="K88" s="4"/>
      <c r="L88" s="4"/>
      <c r="M88" s="4"/>
      <c r="N88" s="4"/>
    </row>
    <row r="89" spans="1:14">
      <c r="A89" s="4" t="s">
        <v>210</v>
      </c>
      <c r="B89" s="4"/>
      <c r="C89" s="4"/>
      <c r="D89" s="4"/>
      <c r="E89" s="4"/>
      <c r="F89" s="4"/>
      <c r="G89" s="4" t="s">
        <v>174</v>
      </c>
      <c r="H89" s="4"/>
      <c r="I89" s="4"/>
      <c r="J89" s="4"/>
      <c r="K89" s="4"/>
      <c r="L89" s="4"/>
      <c r="M89" s="4"/>
      <c r="N89" s="4"/>
    </row>
    <row r="90" spans="1:14">
      <c r="A90" s="4" t="s">
        <v>210</v>
      </c>
      <c r="B90" s="4"/>
      <c r="C90" s="4"/>
      <c r="D90" s="4"/>
      <c r="E90" s="4"/>
      <c r="F90" s="4"/>
      <c r="G90" s="4" t="s">
        <v>175</v>
      </c>
      <c r="H90" s="4"/>
      <c r="I90" s="4"/>
      <c r="J90" s="4"/>
      <c r="K90" s="4"/>
      <c r="L90" s="4"/>
      <c r="M90" s="4"/>
      <c r="N90" s="4"/>
    </row>
    <row r="91" spans="1:14">
      <c r="A91" s="4" t="s">
        <v>210</v>
      </c>
      <c r="B91" s="4"/>
      <c r="C91" s="4"/>
      <c r="D91" s="4"/>
      <c r="E91" s="4"/>
      <c r="F91" s="4"/>
      <c r="G91" s="4" t="s">
        <v>176</v>
      </c>
      <c r="H91" s="4"/>
      <c r="I91" s="4"/>
      <c r="J91" s="4"/>
      <c r="K91" s="4"/>
      <c r="L91" s="4"/>
      <c r="M91" s="4"/>
      <c r="N91" s="4"/>
    </row>
    <row r="92" spans="1:14">
      <c r="A92" s="4" t="s">
        <v>210</v>
      </c>
      <c r="B92" s="4"/>
      <c r="C92" s="4"/>
      <c r="D92" s="4"/>
      <c r="E92" s="4"/>
      <c r="F92" s="4"/>
      <c r="G92" s="4" t="s">
        <v>177</v>
      </c>
      <c r="H92" s="4"/>
      <c r="I92" s="4"/>
      <c r="J92" s="4"/>
      <c r="K92" s="4"/>
      <c r="L92" s="4"/>
      <c r="M92" s="4"/>
      <c r="N92" s="4"/>
    </row>
    <row r="93" spans="1:14">
      <c r="A93" s="4" t="s">
        <v>210</v>
      </c>
      <c r="B93" s="4"/>
      <c r="C93" s="4"/>
      <c r="D93" s="4"/>
      <c r="E93" s="4"/>
      <c r="F93" s="4"/>
      <c r="G93" s="4" t="s">
        <v>178</v>
      </c>
      <c r="H93" s="4"/>
      <c r="I93" s="4"/>
      <c r="J93" s="4"/>
      <c r="K93" s="4"/>
      <c r="L93" s="4"/>
      <c r="M93" s="4"/>
      <c r="N93" s="4"/>
    </row>
    <row r="94" spans="1:14">
      <c r="A94" s="4" t="s">
        <v>210</v>
      </c>
      <c r="B94" s="4"/>
      <c r="C94" s="4"/>
      <c r="D94" s="4"/>
      <c r="E94" s="4"/>
      <c r="F94" s="4"/>
      <c r="G94" s="4" t="s">
        <v>179</v>
      </c>
      <c r="H94" s="4"/>
      <c r="I94" s="4"/>
      <c r="J94" s="4"/>
      <c r="K94" s="4"/>
      <c r="L94" s="4"/>
      <c r="M94" s="4"/>
      <c r="N94" s="4"/>
    </row>
    <row r="95" spans="1:14">
      <c r="A95" s="4" t="s">
        <v>210</v>
      </c>
      <c r="B95" s="4"/>
      <c r="C95" s="4"/>
      <c r="D95" s="4"/>
      <c r="E95" s="4"/>
      <c r="F95" s="4"/>
      <c r="G95" s="4" t="s">
        <v>180</v>
      </c>
      <c r="H95" s="4"/>
      <c r="I95" s="4"/>
      <c r="J95" s="4"/>
      <c r="K95" s="4"/>
      <c r="L95" s="4"/>
      <c r="M95" s="4"/>
      <c r="N95" s="4"/>
    </row>
    <row r="96" spans="1:14">
      <c r="A96" s="4" t="s">
        <v>210</v>
      </c>
      <c r="B96" s="4"/>
      <c r="C96" s="4"/>
      <c r="D96" s="4"/>
      <c r="E96" s="4"/>
      <c r="F96" s="4"/>
      <c r="G96" s="4" t="s">
        <v>181</v>
      </c>
      <c r="H96" s="4"/>
      <c r="I96" s="4"/>
      <c r="J96" s="4"/>
      <c r="K96" s="4"/>
      <c r="L96" s="4"/>
      <c r="M96" s="4"/>
      <c r="N96" s="4"/>
    </row>
    <row r="97" spans="1:14">
      <c r="A97" s="4" t="s">
        <v>210</v>
      </c>
      <c r="B97" s="4"/>
      <c r="C97" s="4"/>
      <c r="D97" s="4"/>
      <c r="E97" s="4"/>
      <c r="F97" s="4"/>
      <c r="G97" s="4" t="s">
        <v>182</v>
      </c>
      <c r="H97" s="4"/>
      <c r="I97" s="4"/>
      <c r="J97" s="4"/>
      <c r="K97" s="4"/>
      <c r="L97" s="4"/>
      <c r="M97" s="4"/>
      <c r="N97" s="4"/>
    </row>
    <row r="98" spans="1:14">
      <c r="A98" s="4" t="s">
        <v>210</v>
      </c>
      <c r="B98" s="4"/>
      <c r="C98" s="4"/>
      <c r="D98" s="4"/>
      <c r="E98" s="4"/>
      <c r="F98" s="4"/>
      <c r="G98" s="4" t="s">
        <v>183</v>
      </c>
      <c r="H98" s="4"/>
      <c r="I98" s="4"/>
      <c r="J98" s="4"/>
      <c r="K98" s="4"/>
      <c r="L98" s="4"/>
      <c r="M98" s="4"/>
      <c r="N98" s="4"/>
    </row>
    <row r="99" spans="1:14">
      <c r="A99" s="4" t="s">
        <v>210</v>
      </c>
      <c r="B99" s="4"/>
      <c r="C99" s="4"/>
      <c r="D99" s="4"/>
      <c r="E99" s="4"/>
      <c r="F99" s="4"/>
      <c r="G99" s="4" t="s">
        <v>184</v>
      </c>
      <c r="H99" s="4"/>
      <c r="I99" s="4"/>
      <c r="J99" s="4"/>
      <c r="K99" s="4"/>
      <c r="L99" s="4"/>
      <c r="M99" s="4"/>
      <c r="N99" s="4"/>
    </row>
    <row r="100" spans="1:14">
      <c r="A100" s="4" t="s">
        <v>210</v>
      </c>
      <c r="B100" s="4"/>
      <c r="C100" s="4"/>
      <c r="D100" s="4"/>
      <c r="E100" s="4"/>
      <c r="F100" s="4"/>
      <c r="G100" s="4" t="s">
        <v>185</v>
      </c>
      <c r="H100" s="4"/>
      <c r="I100" s="4"/>
      <c r="J100" s="4"/>
      <c r="K100" s="4"/>
      <c r="L100" s="4"/>
      <c r="M100" s="4"/>
      <c r="N100" s="4"/>
    </row>
    <row r="101" spans="1:14">
      <c r="A101" s="4" t="s">
        <v>210</v>
      </c>
      <c r="B101" s="4"/>
      <c r="C101" s="4"/>
      <c r="D101" s="4"/>
      <c r="E101" s="4"/>
      <c r="F101" s="4"/>
      <c r="G101" s="4" t="s">
        <v>186</v>
      </c>
      <c r="H101" s="4"/>
      <c r="I101" s="4"/>
      <c r="J101" s="4"/>
      <c r="K101" s="4"/>
      <c r="L101" s="4"/>
      <c r="M101" s="4"/>
      <c r="N101" s="4"/>
    </row>
    <row r="102" spans="1:14">
      <c r="A102" s="4" t="s">
        <v>210</v>
      </c>
      <c r="B102" s="4"/>
      <c r="C102" s="4"/>
      <c r="D102" s="4"/>
      <c r="E102" s="4"/>
      <c r="F102" s="4"/>
      <c r="G102" s="4" t="s">
        <v>187</v>
      </c>
      <c r="H102" s="4"/>
      <c r="I102" s="4"/>
      <c r="J102" s="4"/>
      <c r="K102" s="4"/>
      <c r="L102" s="4"/>
      <c r="M102" s="4"/>
      <c r="N102" s="4"/>
    </row>
    <row r="103" spans="1:14">
      <c r="A103" s="4" t="s">
        <v>210</v>
      </c>
      <c r="B103" s="4"/>
      <c r="C103" s="4"/>
      <c r="D103" s="4"/>
      <c r="E103" s="4"/>
      <c r="F103" s="4"/>
      <c r="G103" s="4" t="s">
        <v>188</v>
      </c>
      <c r="H103" s="4"/>
      <c r="I103" s="4"/>
      <c r="J103" s="4"/>
      <c r="K103" s="4"/>
      <c r="L103" s="4"/>
      <c r="M103" s="4"/>
      <c r="N103" s="4"/>
    </row>
    <row r="104" spans="1:14">
      <c r="A104" s="4" t="s">
        <v>210</v>
      </c>
      <c r="B104" s="4"/>
      <c r="C104" s="4"/>
      <c r="D104" s="4"/>
      <c r="E104" s="4"/>
      <c r="F104" s="4"/>
      <c r="G104" s="4" t="s">
        <v>189</v>
      </c>
      <c r="H104" s="4"/>
      <c r="I104" s="4"/>
      <c r="J104" s="4"/>
      <c r="K104" s="4"/>
      <c r="L104" s="4"/>
      <c r="M104" s="4"/>
      <c r="N104" s="4"/>
    </row>
    <row r="105" spans="1:14">
      <c r="A105" s="4" t="s">
        <v>210</v>
      </c>
      <c r="B105" s="4"/>
      <c r="C105" s="4"/>
      <c r="D105" s="4"/>
      <c r="E105" s="4"/>
      <c r="F105" s="4"/>
      <c r="G105" s="4" t="s">
        <v>190</v>
      </c>
      <c r="H105" s="4"/>
      <c r="I105" s="4"/>
      <c r="J105" s="4"/>
      <c r="K105" s="4"/>
      <c r="L105" s="4"/>
      <c r="M105" s="4"/>
      <c r="N105" s="4"/>
    </row>
    <row r="106" spans="1:14">
      <c r="A106" s="4" t="s">
        <v>210</v>
      </c>
      <c r="B106" s="4"/>
      <c r="C106" s="4"/>
      <c r="D106" s="4"/>
      <c r="E106" s="4"/>
      <c r="F106" s="4"/>
      <c r="G106" s="4" t="s">
        <v>191</v>
      </c>
      <c r="H106" s="4"/>
      <c r="I106" s="4"/>
      <c r="J106" s="4"/>
      <c r="K106" s="4"/>
      <c r="L106" s="4"/>
      <c r="M106" s="4"/>
      <c r="N106" s="4"/>
    </row>
    <row r="107" spans="1:14">
      <c r="A107" s="4" t="s">
        <v>210</v>
      </c>
      <c r="B107" s="4"/>
      <c r="C107" s="4"/>
      <c r="D107" s="4"/>
      <c r="E107" s="4"/>
      <c r="F107" s="4"/>
      <c r="G107" s="4" t="s">
        <v>192</v>
      </c>
      <c r="H107" s="4"/>
      <c r="I107" s="4"/>
      <c r="J107" s="4"/>
      <c r="K107" s="4"/>
      <c r="L107" s="4"/>
      <c r="M107" s="4"/>
      <c r="N107" s="4"/>
    </row>
    <row r="108" spans="1:14">
      <c r="A108" s="4" t="s">
        <v>210</v>
      </c>
      <c r="B108" s="4"/>
      <c r="C108" s="4"/>
      <c r="D108" s="4"/>
      <c r="E108" s="4"/>
      <c r="F108" s="4"/>
      <c r="G108" s="4" t="s">
        <v>193</v>
      </c>
      <c r="H108" s="4"/>
      <c r="I108" s="4"/>
      <c r="J108" s="4"/>
      <c r="K108" s="4"/>
      <c r="L108" s="4"/>
      <c r="M108" s="4"/>
      <c r="N108" s="4"/>
    </row>
    <row r="109" spans="1:14">
      <c r="A109" s="4" t="s">
        <v>210</v>
      </c>
      <c r="B109" s="4"/>
      <c r="C109" s="4"/>
      <c r="D109" s="4"/>
      <c r="E109" s="4"/>
      <c r="F109" s="4"/>
      <c r="G109" s="4" t="s">
        <v>194</v>
      </c>
      <c r="H109" s="4"/>
      <c r="I109" s="4"/>
      <c r="J109" s="4"/>
      <c r="K109" s="4"/>
      <c r="L109" s="4"/>
      <c r="M109" s="4"/>
      <c r="N109" s="4"/>
    </row>
    <row r="110" spans="1:14">
      <c r="A110" s="4" t="s">
        <v>210</v>
      </c>
      <c r="B110" s="4"/>
      <c r="C110" s="4"/>
      <c r="D110" s="4"/>
      <c r="E110" s="4"/>
      <c r="F110" s="4"/>
      <c r="G110" s="4" t="s">
        <v>195</v>
      </c>
      <c r="H110" s="4"/>
      <c r="I110" s="4"/>
      <c r="J110" s="4"/>
      <c r="K110" s="4"/>
      <c r="L110" s="4"/>
      <c r="M110" s="4"/>
      <c r="N110" s="4"/>
    </row>
    <row r="111" spans="1:14">
      <c r="A111" s="4" t="s">
        <v>210</v>
      </c>
      <c r="B111" s="4"/>
      <c r="C111" s="4"/>
      <c r="D111" s="4"/>
      <c r="E111" s="4"/>
      <c r="F111" s="4"/>
      <c r="G111" s="4" t="s">
        <v>196</v>
      </c>
      <c r="H111" s="4"/>
      <c r="I111" s="4"/>
      <c r="J111" s="4"/>
      <c r="K111" s="4"/>
      <c r="L111" s="4"/>
      <c r="M111" s="4"/>
      <c r="N111" s="4"/>
    </row>
    <row r="112" spans="1:14">
      <c r="A112" s="4" t="s">
        <v>210</v>
      </c>
      <c r="B112" s="4"/>
      <c r="C112" s="4"/>
      <c r="D112" s="4"/>
      <c r="E112" s="4"/>
      <c r="F112" s="4"/>
      <c r="G112" s="4" t="s">
        <v>197</v>
      </c>
      <c r="H112" s="4"/>
      <c r="I112" s="4"/>
      <c r="J112" s="4"/>
      <c r="K112" s="4"/>
      <c r="L112" s="4"/>
      <c r="M112" s="4"/>
      <c r="N112" s="4"/>
    </row>
    <row r="113" spans="1:14">
      <c r="A113" s="4" t="s">
        <v>210</v>
      </c>
      <c r="B113" s="4"/>
      <c r="C113" s="4"/>
      <c r="D113" s="4"/>
      <c r="E113" s="4"/>
      <c r="F113" s="4"/>
      <c r="G113" s="4" t="s">
        <v>198</v>
      </c>
      <c r="H113" s="4"/>
      <c r="I113" s="4"/>
      <c r="J113" s="4"/>
      <c r="K113" s="4"/>
      <c r="L113" s="4"/>
      <c r="M113" s="4"/>
      <c r="N113" s="4"/>
    </row>
    <row r="114" spans="1:14">
      <c r="A114" s="4" t="s">
        <v>210</v>
      </c>
      <c r="B114" s="4"/>
      <c r="C114" s="4"/>
      <c r="D114" s="4"/>
      <c r="E114" s="4"/>
      <c r="F114" s="4"/>
      <c r="G114" s="4" t="s">
        <v>199</v>
      </c>
      <c r="H114" s="4"/>
      <c r="I114" s="4"/>
      <c r="J114" s="4"/>
      <c r="K114" s="4"/>
      <c r="L114" s="4"/>
      <c r="M114" s="4"/>
      <c r="N114" s="4"/>
    </row>
    <row r="115" spans="1:14">
      <c r="A115" s="4" t="s">
        <v>210</v>
      </c>
      <c r="B115" s="4"/>
      <c r="C115" s="4"/>
      <c r="D115" s="4"/>
      <c r="E115" s="4"/>
      <c r="F115" s="4"/>
      <c r="G115" s="4" t="s">
        <v>200</v>
      </c>
      <c r="H115" s="4"/>
      <c r="I115" s="4"/>
      <c r="J115" s="4"/>
      <c r="K115" s="4"/>
      <c r="L115" s="4"/>
      <c r="M115" s="4"/>
      <c r="N115" s="4"/>
    </row>
    <row r="116" spans="1:14">
      <c r="A116" s="4" t="s">
        <v>210</v>
      </c>
      <c r="B116" s="4"/>
      <c r="C116" s="4"/>
      <c r="D116" s="4"/>
      <c r="E116" s="4"/>
      <c r="F116" s="4"/>
      <c r="G116" s="4" t="s">
        <v>201</v>
      </c>
      <c r="H116" s="4"/>
      <c r="I116" s="4"/>
      <c r="J116" s="4"/>
      <c r="K116" s="4"/>
      <c r="L116" s="4"/>
      <c r="M116" s="4"/>
      <c r="N116" s="4"/>
    </row>
    <row r="117" spans="1:14">
      <c r="A117" s="4" t="s">
        <v>210</v>
      </c>
      <c r="B117" s="4"/>
      <c r="C117" s="4"/>
      <c r="D117" s="4"/>
      <c r="E117" s="4"/>
      <c r="F117" s="4"/>
      <c r="G117" s="4" t="s">
        <v>202</v>
      </c>
      <c r="H117" s="4"/>
      <c r="I117" s="4"/>
      <c r="J117" s="4"/>
      <c r="K117" s="4"/>
      <c r="L117" s="4"/>
      <c r="M117" s="4"/>
      <c r="N117" s="4"/>
    </row>
    <row r="118" spans="1:14">
      <c r="A118" s="4" t="s">
        <v>210</v>
      </c>
      <c r="B118" s="4"/>
      <c r="C118" s="4"/>
      <c r="D118" s="4"/>
      <c r="E118" s="4"/>
      <c r="F118" s="4"/>
      <c r="G118" s="4" t="s">
        <v>203</v>
      </c>
      <c r="H118" s="4"/>
      <c r="I118" s="4"/>
      <c r="J118" s="4"/>
      <c r="K118" s="4"/>
      <c r="L118" s="4"/>
      <c r="M118" s="4"/>
      <c r="N118" s="4"/>
    </row>
    <row r="119" spans="1:14">
      <c r="A119" s="4" t="s">
        <v>210</v>
      </c>
      <c r="B119" s="4"/>
      <c r="C119" s="4"/>
      <c r="D119" s="4"/>
      <c r="E119" s="4"/>
      <c r="F119" s="4"/>
      <c r="G119" s="4" t="s">
        <v>204</v>
      </c>
      <c r="H119" s="4"/>
      <c r="I119" s="4"/>
      <c r="J119" s="4"/>
      <c r="K119" s="4"/>
      <c r="L119" s="4"/>
      <c r="M119" s="4"/>
      <c r="N119" s="4"/>
    </row>
    <row r="120" spans="1:14">
      <c r="A120" s="4" t="s">
        <v>210</v>
      </c>
      <c r="B120" s="4"/>
      <c r="C120" s="4"/>
      <c r="D120" s="4"/>
      <c r="E120" s="4"/>
      <c r="F120" s="4"/>
      <c r="G120" s="4" t="s">
        <v>205</v>
      </c>
      <c r="H120" s="4"/>
      <c r="I120" s="4"/>
      <c r="J120" s="4"/>
      <c r="K120" s="4"/>
      <c r="L120" s="4"/>
      <c r="M120" s="4"/>
      <c r="N120" s="4"/>
    </row>
    <row r="121" spans="1:14">
      <c r="A121" s="4" t="s">
        <v>210</v>
      </c>
      <c r="B121" s="4"/>
      <c r="C121" s="4"/>
      <c r="D121" s="4"/>
      <c r="E121" s="4"/>
      <c r="F121" s="4"/>
      <c r="G121" s="4" t="s">
        <v>206</v>
      </c>
      <c r="H121" s="4"/>
      <c r="I121" s="4"/>
      <c r="J121" s="4"/>
      <c r="K121" s="4"/>
      <c r="L121" s="4"/>
      <c r="M121" s="4"/>
      <c r="N121" s="4"/>
    </row>
    <row r="122" spans="1:14">
      <c r="A122" s="4" t="s">
        <v>210</v>
      </c>
      <c r="B122" s="4"/>
      <c r="C122" s="4"/>
      <c r="D122" s="4"/>
      <c r="E122" s="4"/>
      <c r="F122" s="4"/>
      <c r="G122" s="4" t="s">
        <v>207</v>
      </c>
      <c r="H122" s="4"/>
      <c r="I122" s="4"/>
      <c r="J122" s="4"/>
      <c r="K122" s="4"/>
      <c r="L122" s="4"/>
      <c r="M122" s="4"/>
      <c r="N122" s="4"/>
    </row>
    <row r="123" spans="1:14">
      <c r="A123" s="4" t="s">
        <v>210</v>
      </c>
      <c r="B123" s="4"/>
      <c r="C123" s="4"/>
      <c r="D123" s="4"/>
      <c r="E123" s="4"/>
      <c r="F123" s="4"/>
      <c r="G123" s="4" t="s">
        <v>208</v>
      </c>
      <c r="H123" s="4"/>
      <c r="I123" s="4"/>
      <c r="J123" s="4"/>
      <c r="K123" s="4"/>
      <c r="L123" s="4"/>
      <c r="M123" s="4"/>
      <c r="N123" s="4"/>
    </row>
  </sheetData>
  <autoFilter ref="A3:N123"/>
  <mergeCells count="1">
    <mergeCell ref="A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36.7109375" customWidth="1"/>
    <col min="3" max="3" width="24.7109375" customWidth="1"/>
    <col min="4" max="4" width="14.7109375" customWidth="1"/>
    <col min="5" max="5" width="20.7109375" customWidth="1"/>
    <col min="6" max="6" width="44.7109375" customWidth="1"/>
    <col min="7" max="8" width="18.7109375" customWidth="1"/>
    <col min="9" max="9" width="14.7109375" customWidth="1"/>
  </cols>
  <sheetData>
    <row r="1" spans="1:9">
      <c r="A1" s="1" t="s">
        <v>211</v>
      </c>
    </row>
    <row r="2" spans="1:9" ht="4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customHeight="1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  <c r="G3" s="3" t="s">
        <v>218</v>
      </c>
      <c r="H3" s="3" t="s">
        <v>219</v>
      </c>
      <c r="I3" s="3" t="s">
        <v>220</v>
      </c>
    </row>
    <row r="4" spans="1:9">
      <c r="A4" s="4" t="s">
        <v>221</v>
      </c>
      <c r="B4" s="4"/>
      <c r="C4" s="4"/>
      <c r="D4" s="4"/>
      <c r="E4" s="4"/>
      <c r="F4" s="4"/>
      <c r="G4" s="4"/>
      <c r="H4" s="4"/>
      <c r="I4" s="4"/>
    </row>
    <row r="5" spans="1:9">
      <c r="A5" s="4" t="s">
        <v>222</v>
      </c>
      <c r="B5" s="4"/>
      <c r="C5" s="4"/>
      <c r="D5" s="4"/>
      <c r="E5" s="4"/>
      <c r="F5" s="4"/>
      <c r="G5" s="4"/>
      <c r="H5" s="4"/>
      <c r="I5" s="4"/>
    </row>
    <row r="6" spans="1:9">
      <c r="A6" s="4" t="s">
        <v>223</v>
      </c>
      <c r="B6" s="4"/>
      <c r="C6" s="4"/>
      <c r="D6" s="4"/>
      <c r="E6" s="4"/>
      <c r="F6" s="4"/>
      <c r="G6" s="4"/>
      <c r="H6" s="4"/>
      <c r="I6" s="4"/>
    </row>
    <row r="7" spans="1:9">
      <c r="A7" s="4" t="s">
        <v>224</v>
      </c>
      <c r="B7" s="4"/>
      <c r="C7" s="4"/>
      <c r="D7" s="4"/>
      <c r="E7" s="4"/>
      <c r="F7" s="4"/>
      <c r="G7" s="4"/>
      <c r="H7" s="4"/>
      <c r="I7" s="4"/>
    </row>
    <row r="8" spans="1:9">
      <c r="A8" s="4" t="s">
        <v>225</v>
      </c>
      <c r="B8" s="4"/>
      <c r="C8" s="4"/>
      <c r="D8" s="4"/>
      <c r="E8" s="4"/>
      <c r="F8" s="4"/>
      <c r="G8" s="4"/>
      <c r="H8" s="4"/>
      <c r="I8" s="4"/>
    </row>
    <row r="9" spans="1:9">
      <c r="A9" s="4" t="s">
        <v>226</v>
      </c>
      <c r="B9" s="4"/>
      <c r="C9" s="4"/>
      <c r="D9" s="4"/>
      <c r="E9" s="4"/>
      <c r="F9" s="4"/>
      <c r="G9" s="4"/>
      <c r="H9" s="4"/>
      <c r="I9" s="4"/>
    </row>
    <row r="10" spans="1:9">
      <c r="A10" s="4" t="s">
        <v>227</v>
      </c>
      <c r="B10" s="4"/>
      <c r="C10" s="4"/>
      <c r="D10" s="4"/>
      <c r="E10" s="4"/>
      <c r="F10" s="4"/>
      <c r="G10" s="4"/>
      <c r="H10" s="4"/>
      <c r="I10" s="4"/>
    </row>
    <row r="11" spans="1:9">
      <c r="A11" s="4" t="s">
        <v>228</v>
      </c>
      <c r="B11" s="4"/>
      <c r="C11" s="4"/>
      <c r="D11" s="4"/>
      <c r="E11" s="4"/>
      <c r="F11" s="4"/>
      <c r="G11" s="4"/>
      <c r="H11" s="4"/>
      <c r="I11" s="4"/>
    </row>
    <row r="12" spans="1:9">
      <c r="A12" s="4" t="s">
        <v>229</v>
      </c>
      <c r="B12" s="4"/>
      <c r="C12" s="4"/>
      <c r="D12" s="4"/>
      <c r="E12" s="4"/>
      <c r="F12" s="4"/>
      <c r="G12" s="4"/>
      <c r="H12" s="4"/>
      <c r="I12" s="4"/>
    </row>
    <row r="13" spans="1:9">
      <c r="A13" s="4" t="s">
        <v>230</v>
      </c>
      <c r="B13" s="4"/>
      <c r="C13" s="4"/>
      <c r="D13" s="4"/>
      <c r="E13" s="4"/>
      <c r="F13" s="4"/>
      <c r="G13" s="4"/>
      <c r="H13" s="4"/>
      <c r="I13" s="4"/>
    </row>
    <row r="14" spans="1:9">
      <c r="A14" s="4" t="s">
        <v>231</v>
      </c>
      <c r="B14" s="4"/>
      <c r="C14" s="4"/>
      <c r="D14" s="4"/>
      <c r="E14" s="4"/>
      <c r="F14" s="4"/>
      <c r="G14" s="4"/>
      <c r="H14" s="4"/>
      <c r="I14" s="4"/>
    </row>
    <row r="15" spans="1:9">
      <c r="A15" s="4" t="s">
        <v>232</v>
      </c>
      <c r="B15" s="4"/>
      <c r="C15" s="4"/>
      <c r="D15" s="4"/>
      <c r="E15" s="4"/>
      <c r="F15" s="4"/>
      <c r="G15" s="4"/>
      <c r="H15" s="4"/>
      <c r="I15" s="4"/>
    </row>
    <row r="16" spans="1:9">
      <c r="A16" s="4" t="s">
        <v>233</v>
      </c>
      <c r="B16" s="4"/>
      <c r="C16" s="4"/>
      <c r="D16" s="4"/>
      <c r="E16" s="4"/>
      <c r="F16" s="4"/>
      <c r="G16" s="4"/>
      <c r="H16" s="4"/>
      <c r="I16" s="4"/>
    </row>
    <row r="17" spans="1:9">
      <c r="A17" s="4" t="s">
        <v>234</v>
      </c>
      <c r="B17" s="4"/>
      <c r="C17" s="4"/>
      <c r="D17" s="4"/>
      <c r="E17" s="4"/>
      <c r="F17" s="4"/>
      <c r="G17" s="4"/>
      <c r="H17" s="4"/>
      <c r="I17" s="4"/>
    </row>
    <row r="18" spans="1:9">
      <c r="A18" s="4" t="s">
        <v>235</v>
      </c>
      <c r="B18" s="4"/>
      <c r="C18" s="4"/>
      <c r="D18" s="4"/>
      <c r="E18" s="4"/>
      <c r="F18" s="4"/>
      <c r="G18" s="4"/>
      <c r="H18" s="4"/>
      <c r="I18" s="4"/>
    </row>
  </sheetData>
  <autoFilter ref="A3:I18"/>
  <mergeCells count="1"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24.7109375" customWidth="1"/>
    <col min="4" max="4" width="44.7109375" customWidth="1"/>
    <col min="5" max="5" width="40.7109375" customWidth="1"/>
  </cols>
  <sheetData>
    <row r="1" spans="1:5">
      <c r="A1" s="1" t="s">
        <v>236</v>
      </c>
    </row>
    <row r="2" spans="1:5" ht="30" customHeight="1">
      <c r="A2" s="3" t="s">
        <v>237</v>
      </c>
      <c r="B2" s="3" t="s">
        <v>94</v>
      </c>
      <c r="C2" s="3" t="s">
        <v>238</v>
      </c>
      <c r="D2" s="3" t="s">
        <v>239</v>
      </c>
      <c r="E2" s="3" t="s">
        <v>240</v>
      </c>
    </row>
    <row r="3" spans="1:5">
      <c r="A3" s="4" t="s">
        <v>241</v>
      </c>
      <c r="B3" s="4" t="s">
        <v>242</v>
      </c>
      <c r="C3" s="4" t="s">
        <v>243</v>
      </c>
      <c r="D3" s="4"/>
      <c r="E3" s="4"/>
    </row>
    <row r="4" spans="1:5">
      <c r="A4" s="4" t="s">
        <v>244</v>
      </c>
      <c r="B4" s="4" t="s">
        <v>245</v>
      </c>
      <c r="C4" s="4" t="s">
        <v>243</v>
      </c>
      <c r="D4" s="4"/>
      <c r="E4" s="4"/>
    </row>
    <row r="5" spans="1:5">
      <c r="A5" s="4" t="s">
        <v>246</v>
      </c>
      <c r="B5" s="4" t="s">
        <v>247</v>
      </c>
      <c r="C5" s="4" t="s">
        <v>243</v>
      </c>
      <c r="D5" s="4"/>
      <c r="E5" s="4"/>
    </row>
    <row r="6" spans="1:5">
      <c r="A6" s="4" t="s">
        <v>248</v>
      </c>
      <c r="B6" s="4" t="s">
        <v>249</v>
      </c>
      <c r="C6" s="4" t="s">
        <v>243</v>
      </c>
      <c r="D6" s="4"/>
      <c r="E6" s="4"/>
    </row>
    <row r="7" spans="1:5">
      <c r="A7" s="4" t="s">
        <v>250</v>
      </c>
      <c r="B7" s="4" t="s">
        <v>251</v>
      </c>
      <c r="C7" s="4" t="s">
        <v>243</v>
      </c>
      <c r="D7" s="4"/>
      <c r="E7" s="4"/>
    </row>
    <row r="8" spans="1:5">
      <c r="A8" s="4" t="s">
        <v>252</v>
      </c>
      <c r="B8" s="4" t="s">
        <v>253</v>
      </c>
      <c r="C8" s="4" t="s">
        <v>243</v>
      </c>
      <c r="D8" s="4"/>
      <c r="E8" s="4"/>
    </row>
    <row r="9" spans="1:5">
      <c r="A9" s="4" t="s">
        <v>254</v>
      </c>
      <c r="B9" s="4" t="s">
        <v>255</v>
      </c>
      <c r="C9" s="4" t="s">
        <v>243</v>
      </c>
      <c r="D9" s="4"/>
      <c r="E9" s="4"/>
    </row>
    <row r="10" spans="1:5">
      <c r="A10" s="4" t="s">
        <v>256</v>
      </c>
      <c r="B10" s="4" t="s">
        <v>257</v>
      </c>
      <c r="C10" s="4" t="s">
        <v>243</v>
      </c>
      <c r="D10" s="4"/>
      <c r="E10" s="4"/>
    </row>
    <row r="11" spans="1:5">
      <c r="A11" s="4" t="s">
        <v>258</v>
      </c>
      <c r="B11" s="4" t="s">
        <v>259</v>
      </c>
      <c r="C11" s="4" t="s">
        <v>243</v>
      </c>
      <c r="D11" s="4"/>
      <c r="E11" s="4"/>
    </row>
  </sheetData>
  <autoFilter ref="A2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Questionnaire_Raw</vt:lpstr>
      <vt:lpstr>Likert_Summary</vt:lpstr>
      <vt:lpstr>Frequencies</vt:lpstr>
      <vt:lpstr>Interview_Notes</vt:lpstr>
      <vt:lpstr>Observation</vt:lpstr>
      <vt:lpstr>Affinity_Themes</vt:lpstr>
      <vt:lpstr>Hypothesis_Verdicts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2026-10-01T05:57:01Z</dcterms:created>
  <dcterms:modified xsi:type="dcterms:W3CDTF">2026-10-01T05:57:01Z</dcterms:modified>
</cp:coreProperties>
</file>